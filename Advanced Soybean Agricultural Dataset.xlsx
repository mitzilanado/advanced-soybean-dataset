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6.xml" ContentType="application/vnd.openxmlformats-officedocument.drawing+xml"/>
  <Override PartName="/xl/charts/chart3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anad\Downloads\"/>
    </mc:Choice>
  </mc:AlternateContent>
  <xr:revisionPtr revIDLastSave="0" documentId="13_ncr:1_{19527055-F454-4802-8BE3-C8C1D06EB7A2}" xr6:coauthVersionLast="47" xr6:coauthVersionMax="47" xr10:uidLastSave="{00000000-0000-0000-0000-000000000000}"/>
  <bookViews>
    <workbookView xWindow="-113" yWindow="-113" windowWidth="24267" windowHeight="14526" firstSheet="1" activeTab="1" xr2:uid="{00000000-000D-0000-FFFF-FFFF00000000}"/>
  </bookViews>
  <sheets>
    <sheet name="ORIGINAL DATA" sheetId="1" r:id="rId1"/>
    <sheet name="CLEAN DATA" sheetId="13" r:id="rId2"/>
    <sheet name="4 - Histogram" sheetId="14" r:id="rId3"/>
    <sheet name="4 - Box Plots" sheetId="4" r:id="rId4"/>
    <sheet name="4 - Bar Charts" sheetId="15" r:id="rId5"/>
    <sheet name="4 - Scatter Plots" sheetId="16" r:id="rId6"/>
    <sheet name="5 - Regression &amp; Hypotheses" sheetId="18" r:id="rId7"/>
  </sheets>
  <definedNames>
    <definedName name="_xlnm._FilterDatabase" localSheetId="0" hidden="1">'ORIGINAL DATA'!$A$1:$O$109</definedName>
    <definedName name="_xlchart.v1.0" hidden="1">'ORIGINAL DATA'!$E$1</definedName>
    <definedName name="_xlchart.v1.1" hidden="1">'ORIGINAL DATA'!$E$2:$E$109</definedName>
    <definedName name="_xlchart.v1.10" hidden="1">'ORIGINAL DATA'!$F$1</definedName>
    <definedName name="_xlchart.v1.11" hidden="1">'ORIGINAL DATA'!$F$2:$F$109</definedName>
    <definedName name="_xlchart.v1.12" hidden="1">'ORIGINAL DATA'!$G$1</definedName>
    <definedName name="_xlchart.v1.13" hidden="1">'ORIGINAL DATA'!$G$2:$G$109</definedName>
    <definedName name="_xlchart.v1.14" hidden="1">'ORIGINAL DATA'!$I$1</definedName>
    <definedName name="_xlchart.v1.15" hidden="1">'ORIGINAL DATA'!$I$2:$I$109</definedName>
    <definedName name="_xlchart.v1.16" hidden="1">'ORIGINAL DATA'!$K$1</definedName>
    <definedName name="_xlchart.v1.17" hidden="1">'ORIGINAL DATA'!$K$2:$K$109</definedName>
    <definedName name="_xlchart.v1.18" hidden="1">'ORIGINAL DATA'!$J$1</definedName>
    <definedName name="_xlchart.v1.19" hidden="1">'ORIGINAL DATA'!$J$2:$J$109</definedName>
    <definedName name="_xlchart.v1.2" hidden="1">'ORIGINAL DATA'!$E$1</definedName>
    <definedName name="_xlchart.v1.20" hidden="1">'ORIGINAL DATA'!$N$1</definedName>
    <definedName name="_xlchart.v1.21" hidden="1">'ORIGINAL DATA'!$N$2:$N$109</definedName>
    <definedName name="_xlchart.v1.22" hidden="1">'ORIGINAL DATA'!$M$1</definedName>
    <definedName name="_xlchart.v1.23" hidden="1">'ORIGINAL DATA'!$M$2:$M$109</definedName>
    <definedName name="_xlchart.v1.24" hidden="1">'ORIGINAL DATA'!$O$1</definedName>
    <definedName name="_xlchart.v1.25" hidden="1">'ORIGINAL DATA'!$O$2:$O$109</definedName>
    <definedName name="_xlchart.v1.26" hidden="1">'ORIGINAL DATA'!$L$1</definedName>
    <definedName name="_xlchart.v1.27" hidden="1">'ORIGINAL DATA'!$L$2:$L$109</definedName>
    <definedName name="_xlchart.v1.3" hidden="1">'ORIGINAL DATA'!$E$2:$E$109</definedName>
    <definedName name="_xlchart.v1.4" hidden="1">'ORIGINAL DATA'!$C$1</definedName>
    <definedName name="_xlchart.v1.5" hidden="1">'ORIGINAL DATA'!$C$2:$C$109</definedName>
    <definedName name="_xlchart.v1.6" hidden="1">'ORIGINAL DATA'!$D$1</definedName>
    <definedName name="_xlchart.v1.7" hidden="1">'ORIGINAL DATA'!$D$2:$D$109</definedName>
    <definedName name="_xlchart.v1.8" hidden="1">'ORIGINAL DATA'!$H$1</definedName>
    <definedName name="_xlchart.v1.9" hidden="1">'ORIGINAL DATA'!$H$2:$H$109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Y0ICORuglUwAtGryOWEjuIqCYhlOM6yBIcj2ywfejY0="/>
    </ext>
  </extLst>
</workbook>
</file>

<file path=xl/calcChain.xml><?xml version="1.0" encoding="utf-8"?>
<calcChain xmlns="http://schemas.openxmlformats.org/spreadsheetml/2006/main">
  <c r="M43" i="18" l="1"/>
  <c r="N43" i="18"/>
  <c r="O43" i="18"/>
  <c r="M44" i="18"/>
  <c r="N44" i="18"/>
  <c r="O44" i="18"/>
  <c r="L44" i="18"/>
  <c r="L43" i="18"/>
  <c r="L31" i="18"/>
  <c r="L23" i="18"/>
  <c r="L22" i="18"/>
  <c r="S31" i="13"/>
  <c r="S30" i="13"/>
  <c r="Y25" i="13"/>
  <c r="Y26" i="13"/>
  <c r="Y15" i="13"/>
  <c r="Y16" i="13"/>
  <c r="Y17" i="13"/>
  <c r="Y18" i="13"/>
  <c r="Y19" i="13"/>
  <c r="Y20" i="13"/>
  <c r="Y21" i="13"/>
  <c r="Y22" i="13"/>
  <c r="Y23" i="13"/>
  <c r="Y2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U26" i="13"/>
  <c r="U15" i="13"/>
  <c r="U16" i="13"/>
  <c r="U17" i="13"/>
  <c r="U18" i="13"/>
  <c r="U19" i="13"/>
  <c r="U20" i="13"/>
  <c r="U21" i="13"/>
  <c r="U22" i="13"/>
  <c r="U23" i="13"/>
  <c r="U24" i="13"/>
  <c r="U25" i="13"/>
  <c r="T25" i="13"/>
  <c r="T26" i="13"/>
  <c r="T15" i="13"/>
  <c r="T16" i="13"/>
  <c r="T17" i="13"/>
  <c r="T18" i="13"/>
  <c r="T19" i="13"/>
  <c r="T20" i="13"/>
  <c r="T21" i="13"/>
  <c r="T22" i="13"/>
  <c r="T23" i="13"/>
  <c r="T24" i="13"/>
  <c r="T14" i="13"/>
  <c r="S26" i="13"/>
  <c r="S22" i="13"/>
  <c r="S23" i="13"/>
  <c r="S24" i="13"/>
  <c r="S25" i="13"/>
  <c r="S17" i="13"/>
  <c r="S18" i="13"/>
  <c r="S19" i="13"/>
  <c r="S20" i="13"/>
  <c r="S21" i="13"/>
  <c r="S16" i="13"/>
  <c r="S15" i="13"/>
  <c r="S14" i="13"/>
  <c r="Y14" i="13"/>
  <c r="X14" i="13"/>
  <c r="W14" i="13"/>
  <c r="V14" i="13"/>
  <c r="U14" i="13"/>
</calcChain>
</file>

<file path=xl/sharedStrings.xml><?xml version="1.0" encoding="utf-8"?>
<sst xmlns="http://schemas.openxmlformats.org/spreadsheetml/2006/main" count="485" uniqueCount="111">
  <si>
    <t>Parameters</t>
  </si>
  <si>
    <t xml:space="preserve">Random </t>
  </si>
  <si>
    <t>Plant Height (PH)</t>
  </si>
  <si>
    <t>Number of Pods (NP)</t>
  </si>
  <si>
    <t>Biological Weight (BW)</t>
  </si>
  <si>
    <t>Sugars (Su)</t>
  </si>
  <si>
    <t>Relative Water Content in Leaves (RWCL)</t>
  </si>
  <si>
    <t>ChlorophyllA663</t>
  </si>
  <si>
    <t>Chlorophyllb649</t>
  </si>
  <si>
    <t>Protein Percentage (PPE)</t>
  </si>
  <si>
    <t>Weight of 300 Seeds (W3S)</t>
  </si>
  <si>
    <t>Leaf Area Index (LAI)</t>
  </si>
  <si>
    <t>Seed Yield per Unit Area (SYUA)</t>
  </si>
  <si>
    <t>Number of Seeds per Pod (NSP)</t>
  </si>
  <si>
    <t>Protein Content (PCO)</t>
  </si>
  <si>
    <t>C1S1G5</t>
  </si>
  <si>
    <t>R1</t>
  </si>
  <si>
    <t>C2S3G4</t>
  </si>
  <si>
    <t>DATA CLEANING STEPS PERFORMED</t>
  </si>
  <si>
    <t>C2S1G6</t>
  </si>
  <si>
    <t>C1S1G1</t>
  </si>
  <si>
    <t>C1S2G6</t>
  </si>
  <si>
    <t>R2</t>
  </si>
  <si>
    <t>C2S2G6</t>
  </si>
  <si>
    <t>C1S1G6</t>
  </si>
  <si>
    <t>C1S3G5</t>
  </si>
  <si>
    <t>C2S2G4</t>
  </si>
  <si>
    <t>C2S3G1</t>
  </si>
  <si>
    <t>C1S1G2</t>
  </si>
  <si>
    <t>R3</t>
  </si>
  <si>
    <t>C1S3G4</t>
  </si>
  <si>
    <t>C2S3G3</t>
  </si>
  <si>
    <t>DESCRIPTIVE ANALYSIS</t>
  </si>
  <si>
    <t>C2S1G2</t>
  </si>
  <si>
    <t>Minimum</t>
  </si>
  <si>
    <t>Q1</t>
  </si>
  <si>
    <t>Median</t>
  </si>
  <si>
    <t>Q3</t>
  </si>
  <si>
    <t>Maximum</t>
  </si>
  <si>
    <t>Mean</t>
  </si>
  <si>
    <t>Standard Deviation</t>
  </si>
  <si>
    <t>C1S3G1</t>
  </si>
  <si>
    <t>C2S2G5</t>
  </si>
  <si>
    <t>C2S2G1</t>
  </si>
  <si>
    <t>C1S3G2</t>
  </si>
  <si>
    <t>C2S1G1</t>
  </si>
  <si>
    <t>C2S3G2</t>
  </si>
  <si>
    <t>C1S2G1</t>
  </si>
  <si>
    <t>C2S1G3</t>
  </si>
  <si>
    <t>C1S2G4</t>
  </si>
  <si>
    <t>C1S1G4</t>
  </si>
  <si>
    <t>KEY VARIABLES</t>
  </si>
  <si>
    <t>C2S2G2</t>
  </si>
  <si>
    <t>C1S1G3</t>
  </si>
  <si>
    <t>C1S3G6</t>
  </si>
  <si>
    <t>C2S3G5</t>
  </si>
  <si>
    <t>C1S2G3</t>
  </si>
  <si>
    <t>C2S1G4</t>
  </si>
  <si>
    <t>C2S1G5</t>
  </si>
  <si>
    <t>C2S3G6</t>
  </si>
  <si>
    <t>C1S2G2</t>
  </si>
  <si>
    <t>C1S3G3</t>
  </si>
  <si>
    <t>C1S2G5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</si>
  <si>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</si>
  <si>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</si>
  <si>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</si>
  <si>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</si>
  <si>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</si>
  <si>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</si>
  <si>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</si>
  <si>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</si>
  <si>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</si>
  <si>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</si>
  <si>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</si>
  <si>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</si>
  <si>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</si>
  <si>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</si>
  <si>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</si>
  <si>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</si>
  <si>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</si>
  <si>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</si>
  <si>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</si>
  <si>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</si>
  <si>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</si>
  <si>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</si>
  <si>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</si>
  <si>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</si>
  <si>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RESIDUAL OUTPUT</t>
  </si>
  <si>
    <t>Observation</t>
  </si>
  <si>
    <t>Residuals</t>
  </si>
  <si>
    <t>COEFFICIENTS</t>
  </si>
  <si>
    <t>slope</t>
  </si>
  <si>
    <t>intercept</t>
  </si>
  <si>
    <t>R^2</t>
  </si>
  <si>
    <t>Bin</t>
  </si>
  <si>
    <t>More</t>
  </si>
  <si>
    <t>Frequency</t>
  </si>
  <si>
    <t>Term</t>
  </si>
  <si>
    <t>Coefficient</t>
  </si>
  <si>
    <t>t-Statistic</t>
  </si>
  <si>
    <t>p-Value</t>
  </si>
  <si>
    <t>Decision (α=0.05)</t>
  </si>
  <si>
    <t>Fail to Reject H₀</t>
  </si>
  <si>
    <t>Reject H₀</t>
  </si>
  <si>
    <t>Independent Variable (x)</t>
  </si>
  <si>
    <t>Dependent Variable (y)</t>
  </si>
  <si>
    <t>Predicted Seed Yield per Unit Area (SYUA)</t>
  </si>
  <si>
    <t>TEST HYPOTHESES</t>
  </si>
  <si>
    <r>
      <t>SYUA</t>
    </r>
    <r>
      <rPr>
        <sz val="11"/>
        <color theme="1"/>
        <rFont val="Aptos Narrow"/>
        <family val="2"/>
        <scheme val="minor"/>
      </rPr>
      <t xml:space="preserve"> has a </t>
    </r>
    <r>
      <rPr>
        <b/>
        <sz val="11"/>
        <color theme="1"/>
        <rFont val="Aptos Narrow"/>
        <family val="2"/>
        <scheme val="minor"/>
      </rPr>
      <t>significant positive effect</t>
    </r>
    <r>
      <rPr>
        <sz val="11"/>
        <color theme="1"/>
        <rFont val="Aptos Narrow"/>
        <family val="2"/>
        <scheme val="minor"/>
      </rPr>
      <t xml:space="preserve"> on </t>
    </r>
    <r>
      <rPr>
        <b/>
        <sz val="11"/>
        <color theme="1"/>
        <rFont val="Aptos Narrow"/>
        <family val="2"/>
        <scheme val="minor"/>
      </rPr>
      <t>Biological Weight (BW)</t>
    </r>
    <r>
      <rPr>
        <sz val="11"/>
        <color theme="1"/>
        <rFont val="Aptos Narrow"/>
        <family val="2"/>
        <scheme val="minor"/>
      </rPr>
      <t xml:space="preserve"> because the </t>
    </r>
    <r>
      <rPr>
        <b/>
        <sz val="11"/>
        <color theme="1"/>
        <rFont val="Aptos Narrow"/>
        <family val="2"/>
        <scheme val="minor"/>
      </rPr>
      <t>p-value = 1.35467E-06</t>
    </r>
    <r>
      <rPr>
        <sz val="11"/>
        <color theme="1"/>
        <rFont val="Aptos Narrow"/>
        <family val="2"/>
        <scheme val="minor"/>
      </rPr>
      <t xml:space="preserve"> is less than 0.05.</t>
    </r>
  </si>
  <si>
    <r>
      <t xml:space="preserve">Thus, we </t>
    </r>
    <r>
      <rPr>
        <b/>
        <sz val="11"/>
        <color theme="1"/>
        <rFont val="Aptos Narrow"/>
        <family val="2"/>
        <scheme val="minor"/>
      </rPr>
      <t>reject the null hypothesis</t>
    </r>
    <r>
      <rPr>
        <sz val="11"/>
        <color theme="1"/>
        <rFont val="Aptos Narrow"/>
        <family val="2"/>
        <scheme val="minor"/>
      </rPr>
      <t xml:space="preserve"> for BW at 0.05 significance level.</t>
    </r>
  </si>
  <si>
    <r>
      <t xml:space="preserve">Moreover, the </t>
    </r>
    <r>
      <rPr>
        <b/>
        <sz val="11"/>
        <color theme="1"/>
        <rFont val="Aptos Narrow"/>
        <family val="2"/>
        <scheme val="minor"/>
      </rPr>
      <t>Intercept</t>
    </r>
    <r>
      <rPr>
        <sz val="11"/>
        <color theme="1"/>
        <rFont val="Aptos Narrow"/>
        <family val="2"/>
        <scheme val="minor"/>
      </rPr>
      <t xml:space="preserve"> is also </t>
    </r>
    <r>
      <rPr>
        <b/>
        <sz val="11"/>
        <color theme="1"/>
        <rFont val="Aptos Narrow"/>
        <family val="2"/>
        <scheme val="minor"/>
      </rPr>
      <t>statistically significant</t>
    </r>
    <r>
      <rPr>
        <sz val="11"/>
        <color theme="1"/>
        <rFont val="Aptos Narrow"/>
        <family val="2"/>
        <scheme val="minor"/>
      </rPr>
      <t xml:space="preserve"> (p = 0.00018) because it is less than 0.05.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</si>
</sst>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6" fillId="2" borderId="1" xfId="0" applyFont="1" applyFill="1" applyBorder="1"/>
    <xf numFmtId="0" fontId="6" fillId="0" borderId="0" xfId="0" applyFont="1"/>
    <xf numFmtId="0" fontId="4" fillId="0" borderId="0" xfId="0" applyFont="1"/>
    <xf numFmtId="2" fontId="5" fillId="0" borderId="0" xfId="0" applyNumberFormat="1" applyFont="1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6" fillId="3" borderId="0" xfId="0" applyFont="1" applyFill="1"/>
    <xf numFmtId="2" fontId="5" fillId="3" borderId="0" xfId="0" applyNumberFormat="1" applyFont="1" applyFill="1"/>
    <xf numFmtId="0" fontId="8" fillId="0" borderId="0" xfId="0" applyFont="1"/>
    <xf numFmtId="0" fontId="3" fillId="0" borderId="0" xfId="0" applyFont="1"/>
    <xf numFmtId="0" fontId="5" fillId="3" borderId="0" xfId="0" applyFont="1" applyFill="1"/>
    <xf numFmtId="2" fontId="0" fillId="3" borderId="0" xfId="0" applyNumberFormat="1" applyFill="1"/>
    <xf numFmtId="0" fontId="2" fillId="0" borderId="0" xfId="0" applyFont="1"/>
    <xf numFmtId="0" fontId="0" fillId="3" borderId="0" xfId="0" applyFill="1"/>
    <xf numFmtId="0" fontId="8" fillId="3" borderId="0" xfId="0" applyFont="1" applyFill="1"/>
    <xf numFmtId="0" fontId="2" fillId="0" borderId="2" xfId="0" applyFont="1" applyBorder="1"/>
    <xf numFmtId="1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Plant Height (PH)</a:t>
            </a:r>
          </a:p>
        </c:rich>
      </c:tx>
      <c:layout>
        <c:manualLayout>
          <c:xMode val="edge"/>
          <c:yMode val="edge"/>
          <c:x val="0.28896700908079537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Histogram'!$P$3:$P$10</c:f>
              <c:strCache>
                <c:ptCount val="8"/>
                <c:pt idx="0">
                  <c:v>47</c:v>
                </c:pt>
                <c:pt idx="1">
                  <c:v>48.18571429</c:v>
                </c:pt>
                <c:pt idx="2">
                  <c:v>49.37142857</c:v>
                </c:pt>
                <c:pt idx="3">
                  <c:v>50.55714286</c:v>
                </c:pt>
                <c:pt idx="4">
                  <c:v>51.74285714</c:v>
                </c:pt>
                <c:pt idx="5">
                  <c:v>52.92857143</c:v>
                </c:pt>
                <c:pt idx="6">
                  <c:v>54.11428571</c:v>
                </c:pt>
                <c:pt idx="7">
                  <c:v>More</c:v>
                </c:pt>
              </c:strCache>
            </c:strRef>
          </c:cat>
          <c:val>
            <c:numRef>
              <c:f>'4 - Histogram'!$Q$3:$Q$10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8</c:v>
                </c:pt>
                <c:pt idx="3">
                  <c:v>18</c:v>
                </c:pt>
                <c:pt idx="4">
                  <c:v>11</c:v>
                </c:pt>
                <c:pt idx="5">
                  <c:v>9</c:v>
                </c:pt>
                <c:pt idx="6">
                  <c:v>3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9-426C-9FAB-FC483059F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914239"/>
        <c:axId val="1947917599"/>
      </c:barChart>
      <c:catAx>
        <c:axId val="1947914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917599"/>
        <c:crosses val="autoZero"/>
        <c:auto val="1"/>
        <c:lblAlgn val="ctr"/>
        <c:lblOffset val="100"/>
        <c:noMultiLvlLbl val="0"/>
      </c:catAx>
      <c:valAx>
        <c:axId val="1947917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91423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Biological Weight (BW)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Histogram'!$P$31:$P$38</c:f>
              <c:strCache>
                <c:ptCount val="8"/>
                <c:pt idx="0">
                  <c:v>63</c:v>
                </c:pt>
                <c:pt idx="1">
                  <c:v>73.71428571</c:v>
                </c:pt>
                <c:pt idx="2">
                  <c:v>84.42857143</c:v>
                </c:pt>
                <c:pt idx="3">
                  <c:v>95.14285714</c:v>
                </c:pt>
                <c:pt idx="4">
                  <c:v>105.8571429</c:v>
                </c:pt>
                <c:pt idx="5">
                  <c:v>116.5714286</c:v>
                </c:pt>
                <c:pt idx="6">
                  <c:v>127.2857143</c:v>
                </c:pt>
                <c:pt idx="7">
                  <c:v>More</c:v>
                </c:pt>
              </c:strCache>
            </c:strRef>
          </c:cat>
          <c:val>
            <c:numRef>
              <c:f>'4 - Histogram'!$Q$31:$Q$38</c:f>
              <c:numCache>
                <c:formatCode>General</c:formatCode>
                <c:ptCount val="8"/>
                <c:pt idx="0">
                  <c:v>1</c:v>
                </c:pt>
                <c:pt idx="1">
                  <c:v>12</c:v>
                </c:pt>
                <c:pt idx="2">
                  <c:v>9</c:v>
                </c:pt>
                <c:pt idx="3">
                  <c:v>9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21-468F-8EF6-94B8D1EA4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872479"/>
        <c:axId val="1947873919"/>
      </c:barChart>
      <c:catAx>
        <c:axId val="1947872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73919"/>
        <c:crosses val="autoZero"/>
        <c:auto val="1"/>
        <c:lblAlgn val="ctr"/>
        <c:lblOffset val="100"/>
        <c:noMultiLvlLbl val="0"/>
      </c:catAx>
      <c:valAx>
        <c:axId val="19478739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7247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 of Pods (NP)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Histogram'!$P$17:$P$24</c:f>
              <c:strCache>
                <c:ptCount val="8"/>
                <c:pt idx="0">
                  <c:v>127</c:v>
                </c:pt>
                <c:pt idx="1">
                  <c:v>133.9428571</c:v>
                </c:pt>
                <c:pt idx="2">
                  <c:v>140.8857143</c:v>
                </c:pt>
                <c:pt idx="3">
                  <c:v>147.8285714</c:v>
                </c:pt>
                <c:pt idx="4">
                  <c:v>154.7714286</c:v>
                </c:pt>
                <c:pt idx="5">
                  <c:v>161.7142857</c:v>
                </c:pt>
                <c:pt idx="6">
                  <c:v>168.6571429</c:v>
                </c:pt>
                <c:pt idx="7">
                  <c:v>More</c:v>
                </c:pt>
              </c:strCache>
            </c:strRef>
          </c:cat>
          <c:val>
            <c:numRef>
              <c:f>'4 - Histogram'!$Q$17:$Q$24</c:f>
              <c:numCache>
                <c:formatCode>General</c:formatCode>
                <c:ptCount val="8"/>
                <c:pt idx="0">
                  <c:v>2</c:v>
                </c:pt>
                <c:pt idx="1">
                  <c:v>16</c:v>
                </c:pt>
                <c:pt idx="2">
                  <c:v>3</c:v>
                </c:pt>
                <c:pt idx="3">
                  <c:v>10</c:v>
                </c:pt>
                <c:pt idx="4">
                  <c:v>9</c:v>
                </c:pt>
                <c:pt idx="5">
                  <c:v>12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C5-4CE3-B1DC-37D681AD7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871039"/>
        <c:axId val="1947857599"/>
      </c:barChart>
      <c:catAx>
        <c:axId val="194787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57599"/>
        <c:crosses val="autoZero"/>
        <c:auto val="1"/>
        <c:lblAlgn val="ctr"/>
        <c:lblOffset val="100"/>
        <c:noMultiLvlLbl val="0"/>
      </c:catAx>
      <c:valAx>
        <c:axId val="1947857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7103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Sugars (Su)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Histogram'!$P$45:$P$52</c:f>
              <c:strCache>
                <c:ptCount val="8"/>
                <c:pt idx="0">
                  <c:v>0.161</c:v>
                </c:pt>
                <c:pt idx="1">
                  <c:v>0.295142857</c:v>
                </c:pt>
                <c:pt idx="2">
                  <c:v>0.429285714</c:v>
                </c:pt>
                <c:pt idx="3">
                  <c:v>0.563428571</c:v>
                </c:pt>
                <c:pt idx="4">
                  <c:v>0.697571429</c:v>
                </c:pt>
                <c:pt idx="5">
                  <c:v>0.831714286</c:v>
                </c:pt>
                <c:pt idx="6">
                  <c:v>0.965857143</c:v>
                </c:pt>
                <c:pt idx="7">
                  <c:v>More</c:v>
                </c:pt>
              </c:strCache>
            </c:strRef>
          </c:cat>
          <c:val>
            <c:numRef>
              <c:f>'4 - Histogram'!$Q$45:$Q$52</c:f>
              <c:numCache>
                <c:formatCode>General</c:formatCode>
                <c:ptCount val="8"/>
                <c:pt idx="0">
                  <c:v>1</c:v>
                </c:pt>
                <c:pt idx="1">
                  <c:v>12</c:v>
                </c:pt>
                <c:pt idx="2">
                  <c:v>8</c:v>
                </c:pt>
                <c:pt idx="3">
                  <c:v>17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9A-410E-AC6B-A5510ACF5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863359"/>
        <c:axId val="1947862399"/>
      </c:barChart>
      <c:catAx>
        <c:axId val="194786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62399"/>
        <c:crosses val="autoZero"/>
        <c:auto val="1"/>
        <c:lblAlgn val="ctr"/>
        <c:lblOffset val="100"/>
        <c:noMultiLvlLbl val="0"/>
      </c:catAx>
      <c:valAx>
        <c:axId val="19478623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6335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Water Content in Leaves (RWCL)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Histogram'!$P$59:$P$66</c:f>
              <c:strCache>
                <c:ptCount val="8"/>
                <c:pt idx="0">
                  <c:v>0.598</c:v>
                </c:pt>
                <c:pt idx="1">
                  <c:v>0.623142857</c:v>
                </c:pt>
                <c:pt idx="2">
                  <c:v>0.648285714</c:v>
                </c:pt>
                <c:pt idx="3">
                  <c:v>0.673428571</c:v>
                </c:pt>
                <c:pt idx="4">
                  <c:v>0.698571429</c:v>
                </c:pt>
                <c:pt idx="5">
                  <c:v>0.723714286</c:v>
                </c:pt>
                <c:pt idx="6">
                  <c:v>0.748857143</c:v>
                </c:pt>
                <c:pt idx="7">
                  <c:v>More</c:v>
                </c:pt>
              </c:strCache>
            </c:strRef>
          </c:cat>
          <c:val>
            <c:numRef>
              <c:f>'4 - Histogram'!$Q$59:$Q$66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  <c:pt idx="5">
                  <c:v>11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7-47DB-BB62-28F2C0B50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921919"/>
        <c:axId val="1947864319"/>
      </c:barChart>
      <c:catAx>
        <c:axId val="1947921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64319"/>
        <c:crosses val="autoZero"/>
        <c:auto val="1"/>
        <c:lblAlgn val="ctr"/>
        <c:lblOffset val="100"/>
        <c:noMultiLvlLbl val="0"/>
      </c:catAx>
      <c:valAx>
        <c:axId val="1947864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92191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ChlorophyllA663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Histogram'!$P$74:$P$81</c:f>
              <c:strCache>
                <c:ptCount val="8"/>
                <c:pt idx="0">
                  <c:v>1</c:v>
                </c:pt>
                <c:pt idx="1">
                  <c:v>2.314285714</c:v>
                </c:pt>
                <c:pt idx="2">
                  <c:v>3.628571429</c:v>
                </c:pt>
                <c:pt idx="3">
                  <c:v>4.942857143</c:v>
                </c:pt>
                <c:pt idx="4">
                  <c:v>6.257142857</c:v>
                </c:pt>
                <c:pt idx="5">
                  <c:v>7.571428571</c:v>
                </c:pt>
                <c:pt idx="6">
                  <c:v>8.885714286</c:v>
                </c:pt>
                <c:pt idx="7">
                  <c:v>More</c:v>
                </c:pt>
              </c:strCache>
            </c:strRef>
          </c:cat>
          <c:val>
            <c:numRef>
              <c:f>'4 - Histogram'!$Q$74:$Q$81</c:f>
              <c:numCache>
                <c:formatCode>General</c:formatCode>
                <c:ptCount val="8"/>
                <c:pt idx="0">
                  <c:v>1</c:v>
                </c:pt>
                <c:pt idx="1">
                  <c:v>30</c:v>
                </c:pt>
                <c:pt idx="2">
                  <c:v>3</c:v>
                </c:pt>
                <c:pt idx="3">
                  <c:v>3</c:v>
                </c:pt>
                <c:pt idx="4">
                  <c:v>0</c:v>
                </c:pt>
                <c:pt idx="5">
                  <c:v>10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D3-4208-B7FF-7E0542ABA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880639"/>
        <c:axId val="1947881119"/>
      </c:barChart>
      <c:catAx>
        <c:axId val="1947880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81119"/>
        <c:crosses val="autoZero"/>
        <c:auto val="1"/>
        <c:lblAlgn val="ctr"/>
        <c:lblOffset val="100"/>
        <c:noMultiLvlLbl val="0"/>
      </c:catAx>
      <c:valAx>
        <c:axId val="19478811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88063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Chlorophyllb649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Histogram'!$Z$4:$Z$11</c:f>
              <c:strCache>
                <c:ptCount val="8"/>
                <c:pt idx="0">
                  <c:v>1.1</c:v>
                </c:pt>
                <c:pt idx="1">
                  <c:v>1.442857143</c:v>
                </c:pt>
                <c:pt idx="2">
                  <c:v>1.785714286</c:v>
                </c:pt>
                <c:pt idx="3">
                  <c:v>2.128571429</c:v>
                </c:pt>
                <c:pt idx="4">
                  <c:v>2.471428571</c:v>
                </c:pt>
                <c:pt idx="5">
                  <c:v>2.814285714</c:v>
                </c:pt>
                <c:pt idx="6">
                  <c:v>3.157142857</c:v>
                </c:pt>
                <c:pt idx="7">
                  <c:v>More</c:v>
                </c:pt>
              </c:strCache>
            </c:strRef>
          </c:cat>
          <c:val>
            <c:numRef>
              <c:f>'4 - Histogram'!$AA$4:$AA$11</c:f>
              <c:numCache>
                <c:formatCode>General</c:formatCode>
                <c:ptCount val="8"/>
                <c:pt idx="0">
                  <c:v>4</c:v>
                </c:pt>
                <c:pt idx="1">
                  <c:v>10</c:v>
                </c:pt>
                <c:pt idx="2">
                  <c:v>2</c:v>
                </c:pt>
                <c:pt idx="3">
                  <c:v>7</c:v>
                </c:pt>
                <c:pt idx="4">
                  <c:v>12</c:v>
                </c:pt>
                <c:pt idx="5">
                  <c:v>3</c:v>
                </c:pt>
                <c:pt idx="6">
                  <c:v>9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2-4729-8644-EE731DFFF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7922879"/>
        <c:axId val="1947925279"/>
      </c:barChart>
      <c:catAx>
        <c:axId val="194792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925279"/>
        <c:crosses val="autoZero"/>
        <c:auto val="1"/>
        <c:lblAlgn val="ctr"/>
        <c:lblOffset val="100"/>
        <c:noMultiLvlLbl val="0"/>
      </c:catAx>
      <c:valAx>
        <c:axId val="1947925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4792287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Protein Percentage (PPE)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Histogram'!$Z$18:$Z$25</c:f>
              <c:strCache>
                <c:ptCount val="8"/>
                <c:pt idx="0">
                  <c:v>31.1</c:v>
                </c:pt>
                <c:pt idx="1">
                  <c:v>32.35714286</c:v>
                </c:pt>
                <c:pt idx="2">
                  <c:v>33.61428571</c:v>
                </c:pt>
                <c:pt idx="3">
                  <c:v>34.87142857</c:v>
                </c:pt>
                <c:pt idx="4">
                  <c:v>36.12857143</c:v>
                </c:pt>
                <c:pt idx="5">
                  <c:v>37.38571429</c:v>
                </c:pt>
                <c:pt idx="6">
                  <c:v>38.64285714</c:v>
                </c:pt>
                <c:pt idx="7">
                  <c:v>More</c:v>
                </c:pt>
              </c:strCache>
            </c:strRef>
          </c:cat>
          <c:val>
            <c:numRef>
              <c:f>'4 - Histogram'!$AA$18:$AA$25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13</c:v>
                </c:pt>
                <c:pt idx="3">
                  <c:v>3</c:v>
                </c:pt>
                <c:pt idx="4">
                  <c:v>5</c:v>
                </c:pt>
                <c:pt idx="5">
                  <c:v>11</c:v>
                </c:pt>
                <c:pt idx="6">
                  <c:v>12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E-4D55-989F-901430988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33327"/>
        <c:axId val="2057842927"/>
      </c:barChart>
      <c:catAx>
        <c:axId val="2057833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42927"/>
        <c:crosses val="autoZero"/>
        <c:auto val="1"/>
        <c:lblAlgn val="ctr"/>
        <c:lblOffset val="100"/>
        <c:noMultiLvlLbl val="0"/>
      </c:catAx>
      <c:valAx>
        <c:axId val="20578429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333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Weight of 300 Seeds (W3S)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Histogram'!$Z$31:$Z$38</c:f>
              <c:strCache>
                <c:ptCount val="8"/>
                <c:pt idx="0">
                  <c:v>27.4</c:v>
                </c:pt>
                <c:pt idx="1">
                  <c:v>29.15714286</c:v>
                </c:pt>
                <c:pt idx="2">
                  <c:v>30.91428571</c:v>
                </c:pt>
                <c:pt idx="3">
                  <c:v>32.67142857</c:v>
                </c:pt>
                <c:pt idx="4">
                  <c:v>34.42857143</c:v>
                </c:pt>
                <c:pt idx="5">
                  <c:v>36.18571429</c:v>
                </c:pt>
                <c:pt idx="6">
                  <c:v>37.94285714</c:v>
                </c:pt>
                <c:pt idx="7">
                  <c:v>More</c:v>
                </c:pt>
              </c:strCache>
            </c:strRef>
          </c:cat>
          <c:val>
            <c:numRef>
              <c:f>'4 - Histogram'!$AA$31:$AA$38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13</c:v>
                </c:pt>
                <c:pt idx="6">
                  <c:v>10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5E-4D6B-911B-B0754B135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51087"/>
        <c:axId val="2057834767"/>
      </c:barChart>
      <c:catAx>
        <c:axId val="205785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34767"/>
        <c:crosses val="autoZero"/>
        <c:auto val="1"/>
        <c:lblAlgn val="ctr"/>
        <c:lblOffset val="100"/>
        <c:noMultiLvlLbl val="0"/>
      </c:catAx>
      <c:valAx>
        <c:axId val="2057834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5108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Leaf Area Index (LAI)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Histogram'!$Z$45:$Z$52</c:f>
              <c:strCache>
                <c:ptCount val="8"/>
                <c:pt idx="0">
                  <c:v>0.02</c:v>
                </c:pt>
                <c:pt idx="1">
                  <c:v>0.031428571</c:v>
                </c:pt>
                <c:pt idx="2">
                  <c:v>0.042857143</c:v>
                </c:pt>
                <c:pt idx="3">
                  <c:v>0.054285714</c:v>
                </c:pt>
                <c:pt idx="4">
                  <c:v>0.065714286</c:v>
                </c:pt>
                <c:pt idx="5">
                  <c:v>0.077142857</c:v>
                </c:pt>
                <c:pt idx="6">
                  <c:v>0.088571429</c:v>
                </c:pt>
                <c:pt idx="7">
                  <c:v>More</c:v>
                </c:pt>
              </c:strCache>
            </c:strRef>
          </c:cat>
          <c:val>
            <c:numRef>
              <c:f>'4 - Histogram'!$AA$45:$AA$52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8-4EEF-AC3F-9FE94099A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29487"/>
        <c:axId val="2057829967"/>
      </c:barChart>
      <c:catAx>
        <c:axId val="205782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29967"/>
        <c:crosses val="autoZero"/>
        <c:auto val="1"/>
        <c:lblAlgn val="ctr"/>
        <c:lblOffset val="100"/>
        <c:noMultiLvlLbl val="0"/>
      </c:catAx>
      <c:valAx>
        <c:axId val="2057829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2948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Seed Yield per Unit Area (SYUA)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Histogram'!$Z$58:$Z$65</c:f>
              <c:strCache>
                <c:ptCount val="8"/>
                <c:pt idx="0">
                  <c:v>2334.2</c:v>
                </c:pt>
                <c:pt idx="1">
                  <c:v>2856.5</c:v>
                </c:pt>
                <c:pt idx="2">
                  <c:v>3378.8</c:v>
                </c:pt>
                <c:pt idx="3">
                  <c:v>3901.1</c:v>
                </c:pt>
                <c:pt idx="4">
                  <c:v>4423.4</c:v>
                </c:pt>
                <c:pt idx="5">
                  <c:v>4945.7</c:v>
                </c:pt>
                <c:pt idx="6">
                  <c:v>5468</c:v>
                </c:pt>
                <c:pt idx="7">
                  <c:v>More</c:v>
                </c:pt>
              </c:strCache>
            </c:strRef>
          </c:cat>
          <c:val>
            <c:numRef>
              <c:f>'4 - Histogram'!$AA$58:$AA$65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13</c:v>
                </c:pt>
                <c:pt idx="3">
                  <c:v>4</c:v>
                </c:pt>
                <c:pt idx="4">
                  <c:v>13</c:v>
                </c:pt>
                <c:pt idx="5">
                  <c:v>5</c:v>
                </c:pt>
                <c:pt idx="6">
                  <c:v>10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53-4D35-9DB4-2252B84A7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32367"/>
        <c:axId val="2057858767"/>
      </c:barChart>
      <c:catAx>
        <c:axId val="2057832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58767"/>
        <c:crosses val="autoZero"/>
        <c:auto val="1"/>
        <c:lblAlgn val="ctr"/>
        <c:lblOffset val="100"/>
        <c:noMultiLvlLbl val="0"/>
      </c:catAx>
      <c:valAx>
        <c:axId val="2057858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3236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 of Seeds per Pod (NSP)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Histogram'!$Z$71:$Z$78</c:f>
              <c:strCache>
                <c:ptCount val="8"/>
                <c:pt idx="0">
                  <c:v>1.4</c:v>
                </c:pt>
                <c:pt idx="1">
                  <c:v>1.571428571</c:v>
                </c:pt>
                <c:pt idx="2">
                  <c:v>1.742857143</c:v>
                </c:pt>
                <c:pt idx="3">
                  <c:v>1.914285714</c:v>
                </c:pt>
                <c:pt idx="4">
                  <c:v>2.085714286</c:v>
                </c:pt>
                <c:pt idx="5">
                  <c:v>2.257142857</c:v>
                </c:pt>
                <c:pt idx="6">
                  <c:v>2.428571429</c:v>
                </c:pt>
                <c:pt idx="7">
                  <c:v>More</c:v>
                </c:pt>
              </c:strCache>
            </c:strRef>
          </c:cat>
          <c:val>
            <c:numRef>
              <c:f>'4 - Histogram'!$AA$71:$AA$78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19</c:v>
                </c:pt>
                <c:pt idx="4">
                  <c:v>10</c:v>
                </c:pt>
                <c:pt idx="5">
                  <c:v>15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B-4255-9779-B717FECFA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10767"/>
        <c:axId val="2057813167"/>
      </c:barChart>
      <c:catAx>
        <c:axId val="205781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13167"/>
        <c:crosses val="autoZero"/>
        <c:auto val="1"/>
        <c:lblAlgn val="ctr"/>
        <c:lblOffset val="100"/>
        <c:noMultiLvlLbl val="0"/>
      </c:catAx>
      <c:valAx>
        <c:axId val="2057813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1076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Protein Content (PCO)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'4 - Histogram'!$Z$84:$Z$91</c:f>
              <c:strCache>
                <c:ptCount val="8"/>
                <c:pt idx="0">
                  <c:v>0.12</c:v>
                </c:pt>
                <c:pt idx="1">
                  <c:v>0.222857143</c:v>
                </c:pt>
                <c:pt idx="2">
                  <c:v>0.325714286</c:v>
                </c:pt>
                <c:pt idx="3">
                  <c:v>0.428571429</c:v>
                </c:pt>
                <c:pt idx="4">
                  <c:v>0.531428571</c:v>
                </c:pt>
                <c:pt idx="5">
                  <c:v>0.634285714</c:v>
                </c:pt>
                <c:pt idx="6">
                  <c:v>0.737142857</c:v>
                </c:pt>
                <c:pt idx="7">
                  <c:v>More</c:v>
                </c:pt>
              </c:strCache>
            </c:strRef>
          </c:cat>
          <c:val>
            <c:numRef>
              <c:f>'4 - Histogram'!$AA$84:$AA$91</c:f>
              <c:numCache>
                <c:formatCode>General</c:formatCode>
                <c:ptCount val="8"/>
                <c:pt idx="0">
                  <c:v>1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8</c:v>
                </c:pt>
                <c:pt idx="5">
                  <c:v>14</c:v>
                </c:pt>
                <c:pt idx="6">
                  <c:v>3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E-4E7B-A6C1-97688CE68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7853967"/>
        <c:axId val="2057855887"/>
      </c:barChart>
      <c:catAx>
        <c:axId val="205785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55887"/>
        <c:crosses val="autoZero"/>
        <c:auto val="1"/>
        <c:lblAlgn val="ctr"/>
        <c:lblOffset val="100"/>
        <c:noMultiLvlLbl val="0"/>
      </c:catAx>
      <c:valAx>
        <c:axId val="20578558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785396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DATA'!$C$1</c:f>
              <c:strCache>
                <c:ptCount val="1"/>
                <c:pt idx="0">
                  <c:v>Plant Height (PH)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DATA'!$C$2:$C$58</c:f>
              <c:numCache>
                <c:formatCode>General</c:formatCode>
                <c:ptCount val="57"/>
                <c:pt idx="0">
                  <c:v>50.5</c:v>
                </c:pt>
                <c:pt idx="1">
                  <c:v>52.2</c:v>
                </c:pt>
                <c:pt idx="2">
                  <c:v>49.2</c:v>
                </c:pt>
                <c:pt idx="3">
                  <c:v>49.3</c:v>
                </c:pt>
                <c:pt idx="4">
                  <c:v>50.2</c:v>
                </c:pt>
                <c:pt idx="5">
                  <c:v>52.2</c:v>
                </c:pt>
                <c:pt idx="6">
                  <c:v>54.3</c:v>
                </c:pt>
                <c:pt idx="7">
                  <c:v>50.3</c:v>
                </c:pt>
                <c:pt idx="8">
                  <c:v>51.3</c:v>
                </c:pt>
                <c:pt idx="9">
                  <c:v>50</c:v>
                </c:pt>
                <c:pt idx="10">
                  <c:v>52.6</c:v>
                </c:pt>
                <c:pt idx="11">
                  <c:v>50.3</c:v>
                </c:pt>
                <c:pt idx="12">
                  <c:v>55.3</c:v>
                </c:pt>
                <c:pt idx="13">
                  <c:v>49.2</c:v>
                </c:pt>
                <c:pt idx="14">
                  <c:v>51.3</c:v>
                </c:pt>
                <c:pt idx="15">
                  <c:v>51.2</c:v>
                </c:pt>
                <c:pt idx="16">
                  <c:v>52.7</c:v>
                </c:pt>
                <c:pt idx="17">
                  <c:v>50</c:v>
                </c:pt>
                <c:pt idx="18">
                  <c:v>55.3</c:v>
                </c:pt>
                <c:pt idx="19">
                  <c:v>47.3</c:v>
                </c:pt>
                <c:pt idx="20">
                  <c:v>49</c:v>
                </c:pt>
                <c:pt idx="21">
                  <c:v>53.4</c:v>
                </c:pt>
                <c:pt idx="22">
                  <c:v>50.3</c:v>
                </c:pt>
                <c:pt idx="23">
                  <c:v>47.4</c:v>
                </c:pt>
                <c:pt idx="24">
                  <c:v>50.6</c:v>
                </c:pt>
                <c:pt idx="25">
                  <c:v>52</c:v>
                </c:pt>
                <c:pt idx="26">
                  <c:v>53.2</c:v>
                </c:pt>
                <c:pt idx="27">
                  <c:v>49.2</c:v>
                </c:pt>
                <c:pt idx="28">
                  <c:v>49</c:v>
                </c:pt>
                <c:pt idx="29">
                  <c:v>48.3</c:v>
                </c:pt>
                <c:pt idx="30">
                  <c:v>52.8</c:v>
                </c:pt>
                <c:pt idx="31">
                  <c:v>52.2</c:v>
                </c:pt>
                <c:pt idx="32">
                  <c:v>51</c:v>
                </c:pt>
                <c:pt idx="33">
                  <c:v>47.7</c:v>
                </c:pt>
                <c:pt idx="34">
                  <c:v>51.2</c:v>
                </c:pt>
                <c:pt idx="35">
                  <c:v>48.2</c:v>
                </c:pt>
                <c:pt idx="36">
                  <c:v>49.8</c:v>
                </c:pt>
                <c:pt idx="37">
                  <c:v>51.3</c:v>
                </c:pt>
                <c:pt idx="38">
                  <c:v>51.3</c:v>
                </c:pt>
                <c:pt idx="39">
                  <c:v>50.5</c:v>
                </c:pt>
                <c:pt idx="40">
                  <c:v>50.2</c:v>
                </c:pt>
                <c:pt idx="41">
                  <c:v>50</c:v>
                </c:pt>
                <c:pt idx="42">
                  <c:v>47</c:v>
                </c:pt>
                <c:pt idx="43">
                  <c:v>50</c:v>
                </c:pt>
                <c:pt idx="44">
                  <c:v>50</c:v>
                </c:pt>
                <c:pt idx="45">
                  <c:v>49.5</c:v>
                </c:pt>
                <c:pt idx="46">
                  <c:v>55.3</c:v>
                </c:pt>
                <c:pt idx="47">
                  <c:v>51.2</c:v>
                </c:pt>
                <c:pt idx="48">
                  <c:v>52.2</c:v>
                </c:pt>
                <c:pt idx="49">
                  <c:v>49.8</c:v>
                </c:pt>
                <c:pt idx="50">
                  <c:v>51</c:v>
                </c:pt>
                <c:pt idx="51">
                  <c:v>50.4</c:v>
                </c:pt>
                <c:pt idx="52">
                  <c:v>50.3</c:v>
                </c:pt>
                <c:pt idx="53">
                  <c:v>50</c:v>
                </c:pt>
                <c:pt idx="54">
                  <c:v>51.6</c:v>
                </c:pt>
                <c:pt idx="55">
                  <c:v>53.3</c:v>
                </c:pt>
                <c:pt idx="56">
                  <c:v>52.2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7-4AB7-95E1-EAED9A91F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Plant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DATA'!$D$1</c:f>
              <c:strCache>
                <c:ptCount val="1"/>
                <c:pt idx="0">
                  <c:v>Number of Pods (NP)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DATA'!$D$2:$D$58</c:f>
              <c:numCache>
                <c:formatCode>General</c:formatCode>
                <c:ptCount val="57"/>
                <c:pt idx="0">
                  <c:v>130.30000000000001</c:v>
                </c:pt>
                <c:pt idx="1">
                  <c:v>150</c:v>
                </c:pt>
                <c:pt idx="2">
                  <c:v>175.6</c:v>
                </c:pt>
                <c:pt idx="3">
                  <c:v>155</c:v>
                </c:pt>
                <c:pt idx="4">
                  <c:v>129</c:v>
                </c:pt>
                <c:pt idx="5">
                  <c:v>147</c:v>
                </c:pt>
                <c:pt idx="6">
                  <c:v>159</c:v>
                </c:pt>
                <c:pt idx="7">
                  <c:v>141.19999999999999</c:v>
                </c:pt>
                <c:pt idx="8">
                  <c:v>136.19999999999999</c:v>
                </c:pt>
                <c:pt idx="9">
                  <c:v>137.30000000000001</c:v>
                </c:pt>
                <c:pt idx="10">
                  <c:v>158</c:v>
                </c:pt>
                <c:pt idx="11">
                  <c:v>150</c:v>
                </c:pt>
                <c:pt idx="12">
                  <c:v>145</c:v>
                </c:pt>
                <c:pt idx="13">
                  <c:v>162.6</c:v>
                </c:pt>
                <c:pt idx="14">
                  <c:v>130</c:v>
                </c:pt>
                <c:pt idx="15">
                  <c:v>149</c:v>
                </c:pt>
                <c:pt idx="16">
                  <c:v>142</c:v>
                </c:pt>
                <c:pt idx="17">
                  <c:v>127</c:v>
                </c:pt>
                <c:pt idx="18">
                  <c:v>146</c:v>
                </c:pt>
                <c:pt idx="19">
                  <c:v>127</c:v>
                </c:pt>
                <c:pt idx="20">
                  <c:v>132.69999999999999</c:v>
                </c:pt>
                <c:pt idx="21">
                  <c:v>161</c:v>
                </c:pt>
                <c:pt idx="22">
                  <c:v>157.69999999999999</c:v>
                </c:pt>
                <c:pt idx="23">
                  <c:v>150.5</c:v>
                </c:pt>
                <c:pt idx="24">
                  <c:v>141</c:v>
                </c:pt>
                <c:pt idx="25">
                  <c:v>135.9</c:v>
                </c:pt>
                <c:pt idx="26">
                  <c:v>129</c:v>
                </c:pt>
                <c:pt idx="27">
                  <c:v>148</c:v>
                </c:pt>
                <c:pt idx="28">
                  <c:v>127.5</c:v>
                </c:pt>
                <c:pt idx="29">
                  <c:v>152</c:v>
                </c:pt>
                <c:pt idx="30">
                  <c:v>143</c:v>
                </c:pt>
                <c:pt idx="31">
                  <c:v>159</c:v>
                </c:pt>
                <c:pt idx="32">
                  <c:v>128.9</c:v>
                </c:pt>
                <c:pt idx="33">
                  <c:v>157</c:v>
                </c:pt>
                <c:pt idx="34">
                  <c:v>130</c:v>
                </c:pt>
                <c:pt idx="35">
                  <c:v>129.80000000000001</c:v>
                </c:pt>
                <c:pt idx="36">
                  <c:v>145</c:v>
                </c:pt>
                <c:pt idx="37">
                  <c:v>130</c:v>
                </c:pt>
                <c:pt idx="38">
                  <c:v>132</c:v>
                </c:pt>
                <c:pt idx="39">
                  <c:v>150</c:v>
                </c:pt>
                <c:pt idx="40">
                  <c:v>158</c:v>
                </c:pt>
                <c:pt idx="41">
                  <c:v>174</c:v>
                </c:pt>
                <c:pt idx="42">
                  <c:v>129</c:v>
                </c:pt>
                <c:pt idx="43">
                  <c:v>159</c:v>
                </c:pt>
                <c:pt idx="44">
                  <c:v>166.3</c:v>
                </c:pt>
                <c:pt idx="45">
                  <c:v>128</c:v>
                </c:pt>
                <c:pt idx="46">
                  <c:v>147</c:v>
                </c:pt>
                <c:pt idx="47">
                  <c:v>148</c:v>
                </c:pt>
                <c:pt idx="48">
                  <c:v>129</c:v>
                </c:pt>
                <c:pt idx="49">
                  <c:v>167</c:v>
                </c:pt>
                <c:pt idx="50">
                  <c:v>129</c:v>
                </c:pt>
                <c:pt idx="51">
                  <c:v>148.19999999999999</c:v>
                </c:pt>
                <c:pt idx="52">
                  <c:v>144.69999999999999</c:v>
                </c:pt>
                <c:pt idx="53">
                  <c:v>128</c:v>
                </c:pt>
                <c:pt idx="54">
                  <c:v>159.69999999999999</c:v>
                </c:pt>
                <c:pt idx="55">
                  <c:v>160</c:v>
                </c:pt>
                <c:pt idx="5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76-4ABF-BC28-30E1422F0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Number of Pods (NP)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DATA'!$E$1</c:f>
              <c:strCache>
                <c:ptCount val="1"/>
                <c:pt idx="0">
                  <c:v>Biological Weight (BW)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DATA'!$E$2:$E$58</c:f>
              <c:numCache>
                <c:formatCode>General</c:formatCode>
                <c:ptCount val="57"/>
                <c:pt idx="0">
                  <c:v>111</c:v>
                </c:pt>
                <c:pt idx="1">
                  <c:v>83</c:v>
                </c:pt>
                <c:pt idx="2">
                  <c:v>73</c:v>
                </c:pt>
                <c:pt idx="3">
                  <c:v>68</c:v>
                </c:pt>
                <c:pt idx="4">
                  <c:v>127</c:v>
                </c:pt>
                <c:pt idx="5">
                  <c:v>122</c:v>
                </c:pt>
                <c:pt idx="6">
                  <c:v>102</c:v>
                </c:pt>
                <c:pt idx="7">
                  <c:v>71</c:v>
                </c:pt>
                <c:pt idx="8">
                  <c:v>66</c:v>
                </c:pt>
                <c:pt idx="9">
                  <c:v>65</c:v>
                </c:pt>
                <c:pt idx="10">
                  <c:v>129</c:v>
                </c:pt>
                <c:pt idx="11">
                  <c:v>77</c:v>
                </c:pt>
                <c:pt idx="12">
                  <c:v>88</c:v>
                </c:pt>
                <c:pt idx="13">
                  <c:v>81</c:v>
                </c:pt>
                <c:pt idx="14">
                  <c:v>72</c:v>
                </c:pt>
                <c:pt idx="15">
                  <c:v>123</c:v>
                </c:pt>
                <c:pt idx="16">
                  <c:v>70</c:v>
                </c:pt>
                <c:pt idx="17">
                  <c:v>124</c:v>
                </c:pt>
                <c:pt idx="18">
                  <c:v>85</c:v>
                </c:pt>
                <c:pt idx="19">
                  <c:v>93</c:v>
                </c:pt>
                <c:pt idx="20">
                  <c:v>137</c:v>
                </c:pt>
                <c:pt idx="21">
                  <c:v>100</c:v>
                </c:pt>
                <c:pt idx="22">
                  <c:v>98</c:v>
                </c:pt>
                <c:pt idx="23">
                  <c:v>84</c:v>
                </c:pt>
                <c:pt idx="24">
                  <c:v>69</c:v>
                </c:pt>
                <c:pt idx="25">
                  <c:v>63</c:v>
                </c:pt>
                <c:pt idx="26">
                  <c:v>73</c:v>
                </c:pt>
                <c:pt idx="27">
                  <c:v>83</c:v>
                </c:pt>
                <c:pt idx="28">
                  <c:v>126</c:v>
                </c:pt>
                <c:pt idx="29">
                  <c:v>78</c:v>
                </c:pt>
                <c:pt idx="30">
                  <c:v>138</c:v>
                </c:pt>
                <c:pt idx="31">
                  <c:v>131</c:v>
                </c:pt>
                <c:pt idx="32">
                  <c:v>70</c:v>
                </c:pt>
                <c:pt idx="33">
                  <c:v>65</c:v>
                </c:pt>
                <c:pt idx="34">
                  <c:v>113</c:v>
                </c:pt>
                <c:pt idx="35">
                  <c:v>92</c:v>
                </c:pt>
                <c:pt idx="36">
                  <c:v>136</c:v>
                </c:pt>
                <c:pt idx="37">
                  <c:v>131</c:v>
                </c:pt>
                <c:pt idx="38">
                  <c:v>135</c:v>
                </c:pt>
                <c:pt idx="39">
                  <c:v>120</c:v>
                </c:pt>
                <c:pt idx="40">
                  <c:v>99</c:v>
                </c:pt>
                <c:pt idx="41">
                  <c:v>77</c:v>
                </c:pt>
                <c:pt idx="42">
                  <c:v>134</c:v>
                </c:pt>
                <c:pt idx="43">
                  <c:v>83</c:v>
                </c:pt>
                <c:pt idx="44">
                  <c:v>85</c:v>
                </c:pt>
                <c:pt idx="45">
                  <c:v>90</c:v>
                </c:pt>
                <c:pt idx="46">
                  <c:v>86</c:v>
                </c:pt>
                <c:pt idx="47">
                  <c:v>75</c:v>
                </c:pt>
                <c:pt idx="48">
                  <c:v>114</c:v>
                </c:pt>
                <c:pt idx="49">
                  <c:v>87</c:v>
                </c:pt>
                <c:pt idx="50">
                  <c:v>112</c:v>
                </c:pt>
                <c:pt idx="51">
                  <c:v>85</c:v>
                </c:pt>
                <c:pt idx="52">
                  <c:v>137</c:v>
                </c:pt>
                <c:pt idx="53">
                  <c:v>128</c:v>
                </c:pt>
                <c:pt idx="54">
                  <c:v>97</c:v>
                </c:pt>
                <c:pt idx="55">
                  <c:v>130</c:v>
                </c:pt>
                <c:pt idx="5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2-4252-B4FA-8F62E8832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Biological Weight (BW)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DATA'!$F$1</c:f>
              <c:strCache>
                <c:ptCount val="1"/>
                <c:pt idx="0">
                  <c:v>Sugars (Su)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DATA'!$F$2:$F$58</c:f>
              <c:numCache>
                <c:formatCode>General</c:formatCode>
                <c:ptCount val="57"/>
                <c:pt idx="0">
                  <c:v>0.433</c:v>
                </c:pt>
                <c:pt idx="1">
                  <c:v>0.49</c:v>
                </c:pt>
                <c:pt idx="2">
                  <c:v>0.79500000000000004</c:v>
                </c:pt>
                <c:pt idx="3">
                  <c:v>0.29799999999999999</c:v>
                </c:pt>
                <c:pt idx="4">
                  <c:v>0.317</c:v>
                </c:pt>
                <c:pt idx="5">
                  <c:v>0.55300000000000005</c:v>
                </c:pt>
                <c:pt idx="6">
                  <c:v>0.61299999999999999</c:v>
                </c:pt>
                <c:pt idx="7">
                  <c:v>0.84</c:v>
                </c:pt>
                <c:pt idx="8">
                  <c:v>0.88200000000000001</c:v>
                </c:pt>
                <c:pt idx="9">
                  <c:v>0.86099999999999999</c:v>
                </c:pt>
                <c:pt idx="10">
                  <c:v>0.16200000000000001</c:v>
                </c:pt>
                <c:pt idx="11">
                  <c:v>0.44500000000000001</c:v>
                </c:pt>
                <c:pt idx="12">
                  <c:v>0.16500000000000001</c:v>
                </c:pt>
                <c:pt idx="13">
                  <c:v>0.64500000000000002</c:v>
                </c:pt>
                <c:pt idx="14">
                  <c:v>0.998</c:v>
                </c:pt>
                <c:pt idx="15">
                  <c:v>0.502</c:v>
                </c:pt>
                <c:pt idx="16">
                  <c:v>0.182</c:v>
                </c:pt>
                <c:pt idx="17">
                  <c:v>0.32200000000000001</c:v>
                </c:pt>
                <c:pt idx="18">
                  <c:v>0.16200000000000001</c:v>
                </c:pt>
                <c:pt idx="19">
                  <c:v>0.65600000000000003</c:v>
                </c:pt>
                <c:pt idx="20">
                  <c:v>0.77200000000000002</c:v>
                </c:pt>
                <c:pt idx="21">
                  <c:v>0.61</c:v>
                </c:pt>
                <c:pt idx="22">
                  <c:v>0.25</c:v>
                </c:pt>
                <c:pt idx="23">
                  <c:v>0.33100000000000002</c:v>
                </c:pt>
                <c:pt idx="24">
                  <c:v>0.18</c:v>
                </c:pt>
                <c:pt idx="25">
                  <c:v>0.83199999999999996</c:v>
                </c:pt>
                <c:pt idx="26">
                  <c:v>0.98899999999999999</c:v>
                </c:pt>
                <c:pt idx="27">
                  <c:v>0.46</c:v>
                </c:pt>
                <c:pt idx="28">
                  <c:v>0.314</c:v>
                </c:pt>
                <c:pt idx="29">
                  <c:v>0.34399999999999997</c:v>
                </c:pt>
                <c:pt idx="30">
                  <c:v>0.46300000000000002</c:v>
                </c:pt>
                <c:pt idx="31">
                  <c:v>0.16300000000000001</c:v>
                </c:pt>
                <c:pt idx="32">
                  <c:v>1.1000000000000001</c:v>
                </c:pt>
                <c:pt idx="33">
                  <c:v>0.29399999999999998</c:v>
                </c:pt>
                <c:pt idx="34">
                  <c:v>0.43</c:v>
                </c:pt>
                <c:pt idx="35">
                  <c:v>0.67500000000000004</c:v>
                </c:pt>
                <c:pt idx="36">
                  <c:v>0.44700000000000001</c:v>
                </c:pt>
                <c:pt idx="37">
                  <c:v>0.53400000000000003</c:v>
                </c:pt>
                <c:pt idx="38">
                  <c:v>0.754</c:v>
                </c:pt>
                <c:pt idx="39">
                  <c:v>0.51200000000000001</c:v>
                </c:pt>
                <c:pt idx="40">
                  <c:v>0.21</c:v>
                </c:pt>
                <c:pt idx="41">
                  <c:v>0.77500000000000002</c:v>
                </c:pt>
                <c:pt idx="42">
                  <c:v>0.745</c:v>
                </c:pt>
                <c:pt idx="43">
                  <c:v>0.65700000000000003</c:v>
                </c:pt>
                <c:pt idx="44">
                  <c:v>0.52300000000000002</c:v>
                </c:pt>
                <c:pt idx="45">
                  <c:v>0.66100000000000003</c:v>
                </c:pt>
                <c:pt idx="46">
                  <c:v>0.161</c:v>
                </c:pt>
                <c:pt idx="47">
                  <c:v>0.35199999999999998</c:v>
                </c:pt>
                <c:pt idx="48">
                  <c:v>0.44800000000000001</c:v>
                </c:pt>
                <c:pt idx="49">
                  <c:v>0.51600000000000001</c:v>
                </c:pt>
                <c:pt idx="50">
                  <c:v>0.54400000000000004</c:v>
                </c:pt>
                <c:pt idx="51">
                  <c:v>0.48</c:v>
                </c:pt>
                <c:pt idx="52">
                  <c:v>0.42299999999999999</c:v>
                </c:pt>
                <c:pt idx="53">
                  <c:v>0.55400000000000005</c:v>
                </c:pt>
                <c:pt idx="54">
                  <c:v>0.23</c:v>
                </c:pt>
                <c:pt idx="55">
                  <c:v>0.16500000000000001</c:v>
                </c:pt>
                <c:pt idx="56">
                  <c:v>0.29499999999999998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8-46A5-B324-135685A8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Sugars (Su)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DATA'!$G$1</c:f>
              <c:strCache>
                <c:ptCount val="1"/>
                <c:pt idx="0">
                  <c:v>Relative Water Content in Leaves (RWCL)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DATA'!$G$2:$G$58</c:f>
              <c:numCache>
                <c:formatCode>General</c:formatCode>
                <c:ptCount val="57"/>
                <c:pt idx="0">
                  <c:v>0.73199999999999998</c:v>
                </c:pt>
                <c:pt idx="1">
                  <c:v>0.67700000000000005</c:v>
                </c:pt>
                <c:pt idx="2">
                  <c:v>0.72499999999999998</c:v>
                </c:pt>
                <c:pt idx="3">
                  <c:v>0.67200000000000004</c:v>
                </c:pt>
                <c:pt idx="4">
                  <c:v>0.629</c:v>
                </c:pt>
                <c:pt idx="5">
                  <c:v>0.622</c:v>
                </c:pt>
                <c:pt idx="6">
                  <c:v>0.71</c:v>
                </c:pt>
                <c:pt idx="7">
                  <c:v>0.63900000000000001</c:v>
                </c:pt>
                <c:pt idx="8">
                  <c:v>0.66200000000000003</c:v>
                </c:pt>
                <c:pt idx="9">
                  <c:v>0.67400000000000004</c:v>
                </c:pt>
                <c:pt idx="10">
                  <c:v>0.69199999999999995</c:v>
                </c:pt>
                <c:pt idx="11">
                  <c:v>0.626</c:v>
                </c:pt>
                <c:pt idx="12">
                  <c:v>0.60099999999999998</c:v>
                </c:pt>
                <c:pt idx="13">
                  <c:v>0.71</c:v>
                </c:pt>
                <c:pt idx="14">
                  <c:v>0.65400000000000003</c:v>
                </c:pt>
                <c:pt idx="15">
                  <c:v>0.66300000000000003</c:v>
                </c:pt>
                <c:pt idx="16">
                  <c:v>0.61799999999999999</c:v>
                </c:pt>
                <c:pt idx="17">
                  <c:v>0.61199999999999999</c:v>
                </c:pt>
                <c:pt idx="18">
                  <c:v>0.59799999999999998</c:v>
                </c:pt>
                <c:pt idx="19">
                  <c:v>0.69799999999999995</c:v>
                </c:pt>
                <c:pt idx="20">
                  <c:v>0.72</c:v>
                </c:pt>
                <c:pt idx="21">
                  <c:v>0.72099999999999997</c:v>
                </c:pt>
                <c:pt idx="22">
                  <c:v>0.76500000000000001</c:v>
                </c:pt>
                <c:pt idx="23">
                  <c:v>0.73899999999999999</c:v>
                </c:pt>
                <c:pt idx="24">
                  <c:v>0.623</c:v>
                </c:pt>
                <c:pt idx="25">
                  <c:v>0.61099999999999999</c:v>
                </c:pt>
                <c:pt idx="26">
                  <c:v>0.67300000000000004</c:v>
                </c:pt>
                <c:pt idx="27">
                  <c:v>0.626</c:v>
                </c:pt>
                <c:pt idx="28">
                  <c:v>0.621</c:v>
                </c:pt>
                <c:pt idx="29">
                  <c:v>0.72199999999999998</c:v>
                </c:pt>
                <c:pt idx="30">
                  <c:v>0.70599999999999996</c:v>
                </c:pt>
                <c:pt idx="31">
                  <c:v>0.65400000000000003</c:v>
                </c:pt>
                <c:pt idx="32">
                  <c:v>0.66</c:v>
                </c:pt>
                <c:pt idx="33">
                  <c:v>0.625</c:v>
                </c:pt>
                <c:pt idx="34">
                  <c:v>0.76200000000000001</c:v>
                </c:pt>
                <c:pt idx="35">
                  <c:v>0.64</c:v>
                </c:pt>
                <c:pt idx="36">
                  <c:v>0.72299999999999998</c:v>
                </c:pt>
                <c:pt idx="37">
                  <c:v>0.67700000000000005</c:v>
                </c:pt>
                <c:pt idx="38">
                  <c:v>0.71199999999999997</c:v>
                </c:pt>
                <c:pt idx="39">
                  <c:v>0.71599999999999997</c:v>
                </c:pt>
                <c:pt idx="40">
                  <c:v>0.77400000000000002</c:v>
                </c:pt>
                <c:pt idx="41">
                  <c:v>0.73</c:v>
                </c:pt>
                <c:pt idx="42">
                  <c:v>0.72199999999999998</c:v>
                </c:pt>
                <c:pt idx="43">
                  <c:v>0.73299999999999998</c:v>
                </c:pt>
                <c:pt idx="44">
                  <c:v>0.67600000000000005</c:v>
                </c:pt>
                <c:pt idx="45">
                  <c:v>0.65400000000000003</c:v>
                </c:pt>
                <c:pt idx="46">
                  <c:v>0.63300000000000001</c:v>
                </c:pt>
                <c:pt idx="47">
                  <c:v>0.61299999999999999</c:v>
                </c:pt>
                <c:pt idx="48">
                  <c:v>0.72499999999999998</c:v>
                </c:pt>
                <c:pt idx="49">
                  <c:v>0.624</c:v>
                </c:pt>
                <c:pt idx="50">
                  <c:v>0.66900000000000004</c:v>
                </c:pt>
                <c:pt idx="51">
                  <c:v>0.625</c:v>
                </c:pt>
                <c:pt idx="52">
                  <c:v>0.72199999999999998</c:v>
                </c:pt>
                <c:pt idx="53">
                  <c:v>0.68300000000000005</c:v>
                </c:pt>
                <c:pt idx="54">
                  <c:v>0.752</c:v>
                </c:pt>
                <c:pt idx="55">
                  <c:v>0.65100000000000002</c:v>
                </c:pt>
                <c:pt idx="56">
                  <c:v>0.63200000000000001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C-415A-B507-45C3AF04DA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Relative Water Content in Leaves (RWCL)</a:t>
                </a:r>
              </a:p>
            </c:rich>
          </c:tx>
          <c:layout>
            <c:manualLayout>
              <c:xMode val="edge"/>
              <c:yMode val="edge"/>
              <c:x val="2.1798319204475256E-2"/>
              <c:y val="0.111527777777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DATA'!$H$1</c:f>
              <c:strCache>
                <c:ptCount val="1"/>
                <c:pt idx="0">
                  <c:v>ChlorophyllA663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DATA'!$H$2:$H$58</c:f>
              <c:numCache>
                <c:formatCode>General</c:formatCode>
                <c:ptCount val="57"/>
                <c:pt idx="0">
                  <c:v>1.4</c:v>
                </c:pt>
                <c:pt idx="1">
                  <c:v>1.8</c:v>
                </c:pt>
                <c:pt idx="2">
                  <c:v>7.5</c:v>
                </c:pt>
                <c:pt idx="3">
                  <c:v>7.2</c:v>
                </c:pt>
                <c:pt idx="4">
                  <c:v>10</c:v>
                </c:pt>
                <c:pt idx="5">
                  <c:v>2.2000000000000002</c:v>
                </c:pt>
                <c:pt idx="6">
                  <c:v>9.1999999999999993</c:v>
                </c:pt>
                <c:pt idx="7">
                  <c:v>1.1000000000000001</c:v>
                </c:pt>
                <c:pt idx="8">
                  <c:v>1.7</c:v>
                </c:pt>
                <c:pt idx="9">
                  <c:v>1.8</c:v>
                </c:pt>
                <c:pt idx="10">
                  <c:v>1.7</c:v>
                </c:pt>
                <c:pt idx="11">
                  <c:v>1.5</c:v>
                </c:pt>
                <c:pt idx="12">
                  <c:v>8.5</c:v>
                </c:pt>
                <c:pt idx="13">
                  <c:v>6.7</c:v>
                </c:pt>
                <c:pt idx="14">
                  <c:v>1.7</c:v>
                </c:pt>
                <c:pt idx="15">
                  <c:v>2.1</c:v>
                </c:pt>
                <c:pt idx="16">
                  <c:v>1.2</c:v>
                </c:pt>
                <c:pt idx="17">
                  <c:v>9.9</c:v>
                </c:pt>
                <c:pt idx="18">
                  <c:v>8</c:v>
                </c:pt>
                <c:pt idx="19">
                  <c:v>1.2</c:v>
                </c:pt>
                <c:pt idx="20">
                  <c:v>7.4</c:v>
                </c:pt>
                <c:pt idx="21">
                  <c:v>8.9</c:v>
                </c:pt>
                <c:pt idx="22">
                  <c:v>3.8</c:v>
                </c:pt>
                <c:pt idx="23">
                  <c:v>1</c:v>
                </c:pt>
                <c:pt idx="24">
                  <c:v>1.3</c:v>
                </c:pt>
                <c:pt idx="25">
                  <c:v>1.4</c:v>
                </c:pt>
                <c:pt idx="26">
                  <c:v>1.6</c:v>
                </c:pt>
                <c:pt idx="27">
                  <c:v>1.4</c:v>
                </c:pt>
                <c:pt idx="28">
                  <c:v>10.199999999999999</c:v>
                </c:pt>
                <c:pt idx="29">
                  <c:v>1.4</c:v>
                </c:pt>
                <c:pt idx="30">
                  <c:v>1.7</c:v>
                </c:pt>
                <c:pt idx="31">
                  <c:v>1.5</c:v>
                </c:pt>
                <c:pt idx="32">
                  <c:v>1.5</c:v>
                </c:pt>
                <c:pt idx="33">
                  <c:v>7.1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1.4</c:v>
                </c:pt>
                <c:pt idx="37">
                  <c:v>2.8</c:v>
                </c:pt>
                <c:pt idx="38">
                  <c:v>7</c:v>
                </c:pt>
                <c:pt idx="39">
                  <c:v>2.4</c:v>
                </c:pt>
                <c:pt idx="40">
                  <c:v>4.0999999999999996</c:v>
                </c:pt>
                <c:pt idx="41">
                  <c:v>7</c:v>
                </c:pt>
                <c:pt idx="42">
                  <c:v>7.2</c:v>
                </c:pt>
                <c:pt idx="43">
                  <c:v>6.3</c:v>
                </c:pt>
                <c:pt idx="44">
                  <c:v>8.5</c:v>
                </c:pt>
                <c:pt idx="45">
                  <c:v>1.3</c:v>
                </c:pt>
                <c:pt idx="46">
                  <c:v>8.1999999999999993</c:v>
                </c:pt>
                <c:pt idx="47">
                  <c:v>1.7</c:v>
                </c:pt>
                <c:pt idx="48">
                  <c:v>1.2</c:v>
                </c:pt>
                <c:pt idx="49">
                  <c:v>8.3000000000000007</c:v>
                </c:pt>
                <c:pt idx="50">
                  <c:v>2.2000000000000002</c:v>
                </c:pt>
                <c:pt idx="51">
                  <c:v>1.5</c:v>
                </c:pt>
                <c:pt idx="52">
                  <c:v>1.6</c:v>
                </c:pt>
                <c:pt idx="53">
                  <c:v>2.6</c:v>
                </c:pt>
                <c:pt idx="54">
                  <c:v>4.2</c:v>
                </c:pt>
                <c:pt idx="55">
                  <c:v>1.8</c:v>
                </c:pt>
                <c:pt idx="56">
                  <c:v>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F-470C-81E2-724CA2B0C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ChlorophyllA663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DATA'!$I$1</c:f>
              <c:strCache>
                <c:ptCount val="1"/>
                <c:pt idx="0">
                  <c:v>Chlorophyllb649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DATA'!$I$2:$I$58</c:f>
              <c:numCache>
                <c:formatCode>General</c:formatCode>
                <c:ptCount val="57"/>
                <c:pt idx="0">
                  <c:v>3.1</c:v>
                </c:pt>
                <c:pt idx="1">
                  <c:v>1.3</c:v>
                </c:pt>
                <c:pt idx="2">
                  <c:v>2.1</c:v>
                </c:pt>
                <c:pt idx="3">
                  <c:v>1.2</c:v>
                </c:pt>
                <c:pt idx="4">
                  <c:v>2.6</c:v>
                </c:pt>
                <c:pt idx="5">
                  <c:v>3</c:v>
                </c:pt>
                <c:pt idx="6">
                  <c:v>2.1</c:v>
                </c:pt>
                <c:pt idx="7">
                  <c:v>3</c:v>
                </c:pt>
                <c:pt idx="8">
                  <c:v>3</c:v>
                </c:pt>
                <c:pt idx="9">
                  <c:v>3.2</c:v>
                </c:pt>
                <c:pt idx="10">
                  <c:v>3.1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1.2</c:v>
                </c:pt>
                <c:pt idx="14">
                  <c:v>3.2</c:v>
                </c:pt>
                <c:pt idx="15">
                  <c:v>3.1</c:v>
                </c:pt>
                <c:pt idx="16">
                  <c:v>3.2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1.1000000000000001</c:v>
                </c:pt>
                <c:pt idx="20">
                  <c:v>1.2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3.3</c:v>
                </c:pt>
                <c:pt idx="25">
                  <c:v>3.1</c:v>
                </c:pt>
                <c:pt idx="26">
                  <c:v>3.1</c:v>
                </c:pt>
                <c:pt idx="27">
                  <c:v>1.2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2.8</c:v>
                </c:pt>
                <c:pt idx="31">
                  <c:v>3.2</c:v>
                </c:pt>
                <c:pt idx="32">
                  <c:v>3.3</c:v>
                </c:pt>
                <c:pt idx="33">
                  <c:v>1.3</c:v>
                </c:pt>
                <c:pt idx="34">
                  <c:v>3.5</c:v>
                </c:pt>
                <c:pt idx="35">
                  <c:v>1.5</c:v>
                </c:pt>
                <c:pt idx="36">
                  <c:v>2</c:v>
                </c:pt>
                <c:pt idx="37">
                  <c:v>2.2000000000000002</c:v>
                </c:pt>
                <c:pt idx="38">
                  <c:v>1.1000000000000001</c:v>
                </c:pt>
                <c:pt idx="39">
                  <c:v>3.4</c:v>
                </c:pt>
                <c:pt idx="40">
                  <c:v>2.1</c:v>
                </c:pt>
                <c:pt idx="41">
                  <c:v>2.2999999999999998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1.2</c:v>
                </c:pt>
                <c:pt idx="46">
                  <c:v>2.7</c:v>
                </c:pt>
                <c:pt idx="47">
                  <c:v>2.2999999999999998</c:v>
                </c:pt>
                <c:pt idx="48">
                  <c:v>3.2</c:v>
                </c:pt>
                <c:pt idx="49">
                  <c:v>1.1000000000000001</c:v>
                </c:pt>
                <c:pt idx="50">
                  <c:v>2.2999999999999998</c:v>
                </c:pt>
                <c:pt idx="51">
                  <c:v>1.7</c:v>
                </c:pt>
                <c:pt idx="52">
                  <c:v>2.2000000000000002</c:v>
                </c:pt>
                <c:pt idx="53">
                  <c:v>2.1</c:v>
                </c:pt>
                <c:pt idx="54">
                  <c:v>2.2999999999999998</c:v>
                </c:pt>
                <c:pt idx="55">
                  <c:v>3.2</c:v>
                </c:pt>
                <c:pt idx="56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4-4276-802C-F0BB94D5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Chlorophyllb649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DATA'!$J$1</c:f>
              <c:strCache>
                <c:ptCount val="1"/>
                <c:pt idx="0">
                  <c:v>Protein Percentage (PPE)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DATA'!$J$2:$J$58</c:f>
              <c:numCache>
                <c:formatCode>General</c:formatCode>
                <c:ptCount val="57"/>
                <c:pt idx="0">
                  <c:v>33.200000000000003</c:v>
                </c:pt>
                <c:pt idx="1">
                  <c:v>33.6</c:v>
                </c:pt>
                <c:pt idx="2">
                  <c:v>39.6</c:v>
                </c:pt>
                <c:pt idx="3">
                  <c:v>31.1</c:v>
                </c:pt>
                <c:pt idx="4">
                  <c:v>38.1</c:v>
                </c:pt>
                <c:pt idx="5">
                  <c:v>33.799999999999997</c:v>
                </c:pt>
                <c:pt idx="6">
                  <c:v>39.1</c:v>
                </c:pt>
                <c:pt idx="7">
                  <c:v>35.299999999999997</c:v>
                </c:pt>
                <c:pt idx="8">
                  <c:v>34.4</c:v>
                </c:pt>
                <c:pt idx="9">
                  <c:v>33</c:v>
                </c:pt>
                <c:pt idx="10">
                  <c:v>37.6</c:v>
                </c:pt>
                <c:pt idx="11">
                  <c:v>32.9</c:v>
                </c:pt>
                <c:pt idx="12">
                  <c:v>36.200000000000003</c:v>
                </c:pt>
                <c:pt idx="13">
                  <c:v>37</c:v>
                </c:pt>
                <c:pt idx="14">
                  <c:v>31.7</c:v>
                </c:pt>
                <c:pt idx="15">
                  <c:v>39.1</c:v>
                </c:pt>
                <c:pt idx="16">
                  <c:v>37.700000000000003</c:v>
                </c:pt>
                <c:pt idx="17">
                  <c:v>35.4</c:v>
                </c:pt>
                <c:pt idx="18">
                  <c:v>33.200000000000003</c:v>
                </c:pt>
                <c:pt idx="19">
                  <c:v>37.200000000000003</c:v>
                </c:pt>
                <c:pt idx="20">
                  <c:v>39.9</c:v>
                </c:pt>
                <c:pt idx="21">
                  <c:v>31.9</c:v>
                </c:pt>
                <c:pt idx="22">
                  <c:v>38.700000000000003</c:v>
                </c:pt>
                <c:pt idx="23">
                  <c:v>32.1</c:v>
                </c:pt>
                <c:pt idx="24">
                  <c:v>37.299999999999997</c:v>
                </c:pt>
                <c:pt idx="25">
                  <c:v>33.6</c:v>
                </c:pt>
                <c:pt idx="26">
                  <c:v>33</c:v>
                </c:pt>
                <c:pt idx="27">
                  <c:v>32.1</c:v>
                </c:pt>
                <c:pt idx="28">
                  <c:v>37.6</c:v>
                </c:pt>
                <c:pt idx="29">
                  <c:v>36.6</c:v>
                </c:pt>
                <c:pt idx="30">
                  <c:v>33.5</c:v>
                </c:pt>
                <c:pt idx="31">
                  <c:v>35.299999999999997</c:v>
                </c:pt>
                <c:pt idx="32">
                  <c:v>39.6</c:v>
                </c:pt>
                <c:pt idx="33">
                  <c:v>33.5</c:v>
                </c:pt>
                <c:pt idx="34">
                  <c:v>37.4</c:v>
                </c:pt>
                <c:pt idx="35">
                  <c:v>38.200000000000003</c:v>
                </c:pt>
                <c:pt idx="36">
                  <c:v>37.6</c:v>
                </c:pt>
                <c:pt idx="37">
                  <c:v>35.299999999999997</c:v>
                </c:pt>
                <c:pt idx="38">
                  <c:v>37.700000000000003</c:v>
                </c:pt>
                <c:pt idx="39">
                  <c:v>32.5</c:v>
                </c:pt>
                <c:pt idx="40">
                  <c:v>39.9</c:v>
                </c:pt>
                <c:pt idx="41">
                  <c:v>36.4</c:v>
                </c:pt>
                <c:pt idx="42">
                  <c:v>37.6</c:v>
                </c:pt>
                <c:pt idx="43">
                  <c:v>36.200000000000003</c:v>
                </c:pt>
                <c:pt idx="44">
                  <c:v>36.5</c:v>
                </c:pt>
                <c:pt idx="45">
                  <c:v>36.9</c:v>
                </c:pt>
                <c:pt idx="46">
                  <c:v>37.299999999999997</c:v>
                </c:pt>
                <c:pt idx="47">
                  <c:v>33.4</c:v>
                </c:pt>
                <c:pt idx="48">
                  <c:v>34.299999999999997</c:v>
                </c:pt>
                <c:pt idx="49">
                  <c:v>38</c:v>
                </c:pt>
                <c:pt idx="50">
                  <c:v>37.4</c:v>
                </c:pt>
                <c:pt idx="51">
                  <c:v>35.299999999999997</c:v>
                </c:pt>
                <c:pt idx="52">
                  <c:v>33.6</c:v>
                </c:pt>
                <c:pt idx="53">
                  <c:v>38.4</c:v>
                </c:pt>
                <c:pt idx="54">
                  <c:v>36.6</c:v>
                </c:pt>
                <c:pt idx="55">
                  <c:v>33.6</c:v>
                </c:pt>
                <c:pt idx="56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D-407B-9DA0-07042DCD9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Protein Percentage (PPE)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DATA'!$K$1</c:f>
              <c:strCache>
                <c:ptCount val="1"/>
                <c:pt idx="0">
                  <c:v>Weight of 300 Seeds (W3S)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DATA'!$K$2:$K$58</c:f>
              <c:numCache>
                <c:formatCode>General</c:formatCode>
                <c:ptCount val="57"/>
                <c:pt idx="0">
                  <c:v>33.6</c:v>
                </c:pt>
                <c:pt idx="1">
                  <c:v>35.200000000000003</c:v>
                </c:pt>
                <c:pt idx="2">
                  <c:v>31.2</c:v>
                </c:pt>
                <c:pt idx="3">
                  <c:v>38.1</c:v>
                </c:pt>
                <c:pt idx="4">
                  <c:v>34.5</c:v>
                </c:pt>
                <c:pt idx="5">
                  <c:v>32.200000000000003</c:v>
                </c:pt>
                <c:pt idx="6">
                  <c:v>29.9</c:v>
                </c:pt>
                <c:pt idx="7">
                  <c:v>32.1</c:v>
                </c:pt>
                <c:pt idx="8">
                  <c:v>35.299999999999997</c:v>
                </c:pt>
                <c:pt idx="9">
                  <c:v>37.1</c:v>
                </c:pt>
                <c:pt idx="10">
                  <c:v>37.700000000000003</c:v>
                </c:pt>
                <c:pt idx="11">
                  <c:v>35.4</c:v>
                </c:pt>
                <c:pt idx="12">
                  <c:v>33.200000000000003</c:v>
                </c:pt>
                <c:pt idx="13">
                  <c:v>33.9</c:v>
                </c:pt>
                <c:pt idx="14">
                  <c:v>31.1</c:v>
                </c:pt>
                <c:pt idx="15">
                  <c:v>33.6</c:v>
                </c:pt>
                <c:pt idx="16">
                  <c:v>31.8</c:v>
                </c:pt>
                <c:pt idx="17">
                  <c:v>33.299999999999997</c:v>
                </c:pt>
                <c:pt idx="18">
                  <c:v>35.200000000000003</c:v>
                </c:pt>
                <c:pt idx="19">
                  <c:v>34.5</c:v>
                </c:pt>
                <c:pt idx="20">
                  <c:v>34.299999999999997</c:v>
                </c:pt>
                <c:pt idx="21">
                  <c:v>28.9</c:v>
                </c:pt>
                <c:pt idx="22">
                  <c:v>29.2</c:v>
                </c:pt>
                <c:pt idx="23">
                  <c:v>39.700000000000003</c:v>
                </c:pt>
                <c:pt idx="24">
                  <c:v>30.6</c:v>
                </c:pt>
                <c:pt idx="25">
                  <c:v>37.6</c:v>
                </c:pt>
                <c:pt idx="26">
                  <c:v>30.3</c:v>
                </c:pt>
                <c:pt idx="27">
                  <c:v>32.200000000000003</c:v>
                </c:pt>
                <c:pt idx="28">
                  <c:v>35.4</c:v>
                </c:pt>
                <c:pt idx="29">
                  <c:v>33.200000000000003</c:v>
                </c:pt>
                <c:pt idx="30">
                  <c:v>36.1</c:v>
                </c:pt>
                <c:pt idx="31">
                  <c:v>34.299999999999997</c:v>
                </c:pt>
                <c:pt idx="32">
                  <c:v>29.6</c:v>
                </c:pt>
                <c:pt idx="33">
                  <c:v>33.4</c:v>
                </c:pt>
                <c:pt idx="34">
                  <c:v>36.4</c:v>
                </c:pt>
                <c:pt idx="35">
                  <c:v>33.6</c:v>
                </c:pt>
                <c:pt idx="36">
                  <c:v>36.4</c:v>
                </c:pt>
                <c:pt idx="37">
                  <c:v>33.6</c:v>
                </c:pt>
                <c:pt idx="38">
                  <c:v>31.6</c:v>
                </c:pt>
                <c:pt idx="39">
                  <c:v>34.700000000000003</c:v>
                </c:pt>
                <c:pt idx="40">
                  <c:v>27.4</c:v>
                </c:pt>
                <c:pt idx="41">
                  <c:v>32.200000000000003</c:v>
                </c:pt>
                <c:pt idx="42">
                  <c:v>33.200000000000003</c:v>
                </c:pt>
                <c:pt idx="43">
                  <c:v>37.700000000000003</c:v>
                </c:pt>
                <c:pt idx="44">
                  <c:v>35.200000000000003</c:v>
                </c:pt>
                <c:pt idx="45">
                  <c:v>34.200000000000003</c:v>
                </c:pt>
                <c:pt idx="46">
                  <c:v>36.6</c:v>
                </c:pt>
                <c:pt idx="47">
                  <c:v>37.299999999999997</c:v>
                </c:pt>
                <c:pt idx="48">
                  <c:v>38.4</c:v>
                </c:pt>
                <c:pt idx="49">
                  <c:v>32.6</c:v>
                </c:pt>
                <c:pt idx="50">
                  <c:v>36.700000000000003</c:v>
                </c:pt>
                <c:pt idx="51">
                  <c:v>33.5</c:v>
                </c:pt>
                <c:pt idx="52">
                  <c:v>37.200000000000003</c:v>
                </c:pt>
                <c:pt idx="53">
                  <c:v>35.299999999999997</c:v>
                </c:pt>
                <c:pt idx="54">
                  <c:v>28.4</c:v>
                </c:pt>
                <c:pt idx="55">
                  <c:v>34.5</c:v>
                </c:pt>
                <c:pt idx="56">
                  <c:v>35.299999999999997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3-464D-B8BB-DEA59E200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Weight of 300 Seeds (W3S)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DATA'!$L$1</c:f>
              <c:strCache>
                <c:ptCount val="1"/>
                <c:pt idx="0">
                  <c:v>Leaf Area Index (LAI)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DATA'!$L$2:$L$58</c:f>
              <c:numCache>
                <c:formatCode>General</c:formatCode>
                <c:ptCount val="57"/>
                <c:pt idx="0">
                  <c:v>0.08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0.06</c:v>
                </c:pt>
                <c:pt idx="4">
                  <c:v>0.05</c:v>
                </c:pt>
                <c:pt idx="5">
                  <c:v>0.06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0.04</c:v>
                </c:pt>
                <c:pt idx="9">
                  <c:v>0.03</c:v>
                </c:pt>
                <c:pt idx="10">
                  <c:v>0.09</c:v>
                </c:pt>
                <c:pt idx="11">
                  <c:v>0.09</c:v>
                </c:pt>
                <c:pt idx="12">
                  <c:v>0.1</c:v>
                </c:pt>
                <c:pt idx="13">
                  <c:v>0.02</c:v>
                </c:pt>
                <c:pt idx="14">
                  <c:v>0.09</c:v>
                </c:pt>
                <c:pt idx="15">
                  <c:v>0.09</c:v>
                </c:pt>
                <c:pt idx="16">
                  <c:v>0.05</c:v>
                </c:pt>
                <c:pt idx="17">
                  <c:v>0.04</c:v>
                </c:pt>
                <c:pt idx="18">
                  <c:v>0.09</c:v>
                </c:pt>
                <c:pt idx="19">
                  <c:v>0.06</c:v>
                </c:pt>
                <c:pt idx="20">
                  <c:v>0.09</c:v>
                </c:pt>
                <c:pt idx="21">
                  <c:v>0.09</c:v>
                </c:pt>
                <c:pt idx="22">
                  <c:v>0.04</c:v>
                </c:pt>
                <c:pt idx="23">
                  <c:v>0.03</c:v>
                </c:pt>
                <c:pt idx="24">
                  <c:v>0.06</c:v>
                </c:pt>
                <c:pt idx="25">
                  <c:v>0.05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0.03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0.08</c:v>
                </c:pt>
                <c:pt idx="33">
                  <c:v>0.08</c:v>
                </c:pt>
                <c:pt idx="34">
                  <c:v>0.1</c:v>
                </c:pt>
                <c:pt idx="35">
                  <c:v>0.05</c:v>
                </c:pt>
                <c:pt idx="36">
                  <c:v>0.05</c:v>
                </c:pt>
                <c:pt idx="37">
                  <c:v>0.08</c:v>
                </c:pt>
                <c:pt idx="38">
                  <c:v>7.0000000000000007E-2</c:v>
                </c:pt>
                <c:pt idx="39">
                  <c:v>0.08</c:v>
                </c:pt>
                <c:pt idx="40">
                  <c:v>0.05</c:v>
                </c:pt>
                <c:pt idx="41">
                  <c:v>0.09</c:v>
                </c:pt>
                <c:pt idx="42">
                  <c:v>0.09</c:v>
                </c:pt>
                <c:pt idx="43">
                  <c:v>0.04</c:v>
                </c:pt>
                <c:pt idx="44">
                  <c:v>0.08</c:v>
                </c:pt>
                <c:pt idx="45">
                  <c:v>0.06</c:v>
                </c:pt>
                <c:pt idx="46">
                  <c:v>0.08</c:v>
                </c:pt>
                <c:pt idx="47">
                  <c:v>0.1</c:v>
                </c:pt>
                <c:pt idx="48">
                  <c:v>0.09</c:v>
                </c:pt>
                <c:pt idx="49">
                  <c:v>0.1</c:v>
                </c:pt>
                <c:pt idx="50">
                  <c:v>0.1</c:v>
                </c:pt>
                <c:pt idx="51">
                  <c:v>0.09</c:v>
                </c:pt>
                <c:pt idx="52">
                  <c:v>7.0000000000000007E-2</c:v>
                </c:pt>
                <c:pt idx="53">
                  <c:v>0.09</c:v>
                </c:pt>
                <c:pt idx="54">
                  <c:v>0.03</c:v>
                </c:pt>
                <c:pt idx="55">
                  <c:v>0.1</c:v>
                </c:pt>
                <c:pt idx="56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3-4449-B339-A898314B7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Leaf Area Index (LAI)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8-4EBF-9585-51F20AD21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DATA'!$N$1</c:f>
              <c:strCache>
                <c:ptCount val="1"/>
                <c:pt idx="0">
                  <c:v>Number of Seeds per Pod (NSP)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DATA'!$N$2:$N$58</c:f>
              <c:numCache>
                <c:formatCode>General</c:formatCode>
                <c:ptCount val="57"/>
                <c:pt idx="0">
                  <c:v>1.86</c:v>
                </c:pt>
                <c:pt idx="1">
                  <c:v>2.04</c:v>
                </c:pt>
                <c:pt idx="2">
                  <c:v>1.88</c:v>
                </c:pt>
                <c:pt idx="3">
                  <c:v>1.8</c:v>
                </c:pt>
                <c:pt idx="4">
                  <c:v>2.6</c:v>
                </c:pt>
                <c:pt idx="5">
                  <c:v>1.9</c:v>
                </c:pt>
                <c:pt idx="6">
                  <c:v>2.6</c:v>
                </c:pt>
                <c:pt idx="7">
                  <c:v>2.2000000000000002</c:v>
                </c:pt>
                <c:pt idx="8">
                  <c:v>2.08</c:v>
                </c:pt>
                <c:pt idx="9">
                  <c:v>2.2000000000000002</c:v>
                </c:pt>
                <c:pt idx="10">
                  <c:v>2.6</c:v>
                </c:pt>
                <c:pt idx="11">
                  <c:v>1.7</c:v>
                </c:pt>
                <c:pt idx="12">
                  <c:v>1.82</c:v>
                </c:pt>
                <c:pt idx="13">
                  <c:v>1.87</c:v>
                </c:pt>
                <c:pt idx="14">
                  <c:v>1.8</c:v>
                </c:pt>
                <c:pt idx="15">
                  <c:v>1.7</c:v>
                </c:pt>
                <c:pt idx="16">
                  <c:v>2.08</c:v>
                </c:pt>
                <c:pt idx="17">
                  <c:v>1.86</c:v>
                </c:pt>
                <c:pt idx="18">
                  <c:v>2.1</c:v>
                </c:pt>
                <c:pt idx="19">
                  <c:v>1.86</c:v>
                </c:pt>
                <c:pt idx="20">
                  <c:v>1.86</c:v>
                </c:pt>
                <c:pt idx="21">
                  <c:v>2.6</c:v>
                </c:pt>
                <c:pt idx="22">
                  <c:v>1.9</c:v>
                </c:pt>
                <c:pt idx="23">
                  <c:v>2.0499999999999998</c:v>
                </c:pt>
                <c:pt idx="24">
                  <c:v>2.1</c:v>
                </c:pt>
                <c:pt idx="25">
                  <c:v>1.9</c:v>
                </c:pt>
                <c:pt idx="26">
                  <c:v>1.88</c:v>
                </c:pt>
                <c:pt idx="27">
                  <c:v>2.2000000000000002</c:v>
                </c:pt>
                <c:pt idx="28">
                  <c:v>2.4</c:v>
                </c:pt>
                <c:pt idx="29">
                  <c:v>1.4</c:v>
                </c:pt>
                <c:pt idx="30">
                  <c:v>2.4</c:v>
                </c:pt>
                <c:pt idx="31">
                  <c:v>2.2000000000000002</c:v>
                </c:pt>
                <c:pt idx="32">
                  <c:v>1.8</c:v>
                </c:pt>
                <c:pt idx="33">
                  <c:v>2.0499999999999998</c:v>
                </c:pt>
                <c:pt idx="34">
                  <c:v>2.6</c:v>
                </c:pt>
                <c:pt idx="35">
                  <c:v>2.2000000000000002</c:v>
                </c:pt>
                <c:pt idx="36">
                  <c:v>2.08</c:v>
                </c:pt>
                <c:pt idx="37">
                  <c:v>1.84</c:v>
                </c:pt>
                <c:pt idx="38">
                  <c:v>2.08</c:v>
                </c:pt>
                <c:pt idx="39">
                  <c:v>1.8</c:v>
                </c:pt>
                <c:pt idx="40">
                  <c:v>2.1</c:v>
                </c:pt>
                <c:pt idx="41">
                  <c:v>2.08</c:v>
                </c:pt>
                <c:pt idx="42">
                  <c:v>2.2000000000000002</c:v>
                </c:pt>
                <c:pt idx="43">
                  <c:v>1.7</c:v>
                </c:pt>
                <c:pt idx="44">
                  <c:v>2.2000000000000002</c:v>
                </c:pt>
                <c:pt idx="45">
                  <c:v>1.85</c:v>
                </c:pt>
                <c:pt idx="46">
                  <c:v>2.2000000000000002</c:v>
                </c:pt>
                <c:pt idx="47">
                  <c:v>1.6</c:v>
                </c:pt>
                <c:pt idx="48">
                  <c:v>2.2000000000000002</c:v>
                </c:pt>
                <c:pt idx="49">
                  <c:v>2.08</c:v>
                </c:pt>
                <c:pt idx="50">
                  <c:v>2.06</c:v>
                </c:pt>
                <c:pt idx="51">
                  <c:v>2.2000000000000002</c:v>
                </c:pt>
                <c:pt idx="52">
                  <c:v>1.86</c:v>
                </c:pt>
                <c:pt idx="53">
                  <c:v>2.2000000000000002</c:v>
                </c:pt>
                <c:pt idx="54">
                  <c:v>1.8</c:v>
                </c:pt>
                <c:pt idx="55">
                  <c:v>2.6</c:v>
                </c:pt>
                <c:pt idx="56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5-4DFE-854F-5D4692DDB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Number of Seeds per Pod (NSP)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'CLEAN DATA'!$O$1</c:f>
              <c:strCache>
                <c:ptCount val="1"/>
                <c:pt idx="0">
                  <c:v>Protein Content (PCO)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'CLEAN DATA'!$A$2:$A$58</c:f>
              <c:strCache>
                <c:ptCount val="57"/>
                <c:pt idx="0">
                  <c:v>C1S1G5</c:v>
                </c:pt>
                <c:pt idx="1">
                  <c:v>C2S1G6</c:v>
                </c:pt>
                <c:pt idx="2">
                  <c:v>C1S2G6</c:v>
                </c:pt>
                <c:pt idx="3">
                  <c:v>C2S2G4</c:v>
                </c:pt>
                <c:pt idx="4">
                  <c:v>C2S3G3</c:v>
                </c:pt>
                <c:pt idx="5">
                  <c:v>C2S1G2</c:v>
                </c:pt>
                <c:pt idx="6">
                  <c:v>C1S3G1</c:v>
                </c:pt>
                <c:pt idx="7">
                  <c:v>C2S2G5</c:v>
                </c:pt>
                <c:pt idx="8">
                  <c:v>C2S2G1</c:v>
                </c:pt>
                <c:pt idx="9">
                  <c:v>C2S2G1</c:v>
                </c:pt>
                <c:pt idx="10">
                  <c:v>C1S3G2</c:v>
                </c:pt>
                <c:pt idx="11">
                  <c:v>C2S1G1</c:v>
                </c:pt>
                <c:pt idx="12">
                  <c:v>C2S3G2</c:v>
                </c:pt>
                <c:pt idx="13">
                  <c:v>C1S2G1</c:v>
                </c:pt>
                <c:pt idx="14">
                  <c:v>C2S1G3</c:v>
                </c:pt>
                <c:pt idx="15">
                  <c:v>C2S1G2</c:v>
                </c:pt>
                <c:pt idx="16">
                  <c:v>C2S2G5</c:v>
                </c:pt>
                <c:pt idx="17">
                  <c:v>C2S3G3</c:v>
                </c:pt>
                <c:pt idx="18">
                  <c:v>C2S3G2</c:v>
                </c:pt>
                <c:pt idx="19">
                  <c:v>C2S2G2</c:v>
                </c:pt>
                <c:pt idx="20">
                  <c:v>C1S1G3</c:v>
                </c:pt>
                <c:pt idx="21">
                  <c:v>C1S3G1</c:v>
                </c:pt>
                <c:pt idx="22">
                  <c:v>C1S3G6</c:v>
                </c:pt>
                <c:pt idx="23">
                  <c:v>C2S3G1</c:v>
                </c:pt>
                <c:pt idx="24">
                  <c:v>C2S2G5</c:v>
                </c:pt>
                <c:pt idx="25">
                  <c:v>C2S2G1</c:v>
                </c:pt>
                <c:pt idx="26">
                  <c:v>C2S1G3</c:v>
                </c:pt>
                <c:pt idx="27">
                  <c:v>C2S1G6</c:v>
                </c:pt>
                <c:pt idx="28">
                  <c:v>C2S3G3</c:v>
                </c:pt>
                <c:pt idx="29">
                  <c:v>C2S1G1</c:v>
                </c:pt>
                <c:pt idx="30">
                  <c:v>C2S1G4</c:v>
                </c:pt>
                <c:pt idx="31">
                  <c:v>C1S3G2</c:v>
                </c:pt>
                <c:pt idx="32">
                  <c:v>C2S1G3</c:v>
                </c:pt>
                <c:pt idx="33">
                  <c:v>C2S2G4</c:v>
                </c:pt>
                <c:pt idx="34">
                  <c:v>C1S1G5</c:v>
                </c:pt>
                <c:pt idx="35">
                  <c:v>C2S2G2</c:v>
                </c:pt>
                <c:pt idx="36">
                  <c:v>C2S1G4</c:v>
                </c:pt>
                <c:pt idx="37">
                  <c:v>C1S2G5</c:v>
                </c:pt>
                <c:pt idx="38">
                  <c:v>C1S1G3</c:v>
                </c:pt>
                <c:pt idx="39">
                  <c:v>C2S1G2</c:v>
                </c:pt>
                <c:pt idx="40">
                  <c:v>C1S3G6</c:v>
                </c:pt>
                <c:pt idx="41">
                  <c:v>C1S2G6</c:v>
                </c:pt>
                <c:pt idx="42">
                  <c:v>C1S1G3</c:v>
                </c:pt>
                <c:pt idx="43">
                  <c:v>C1S2G1</c:v>
                </c:pt>
                <c:pt idx="44">
                  <c:v>C1S2G2</c:v>
                </c:pt>
                <c:pt idx="45">
                  <c:v>C2S2G2</c:v>
                </c:pt>
                <c:pt idx="46">
                  <c:v>C2S3G2</c:v>
                </c:pt>
                <c:pt idx="47">
                  <c:v>C2S1G1</c:v>
                </c:pt>
                <c:pt idx="48">
                  <c:v>C1S1G5</c:v>
                </c:pt>
                <c:pt idx="49">
                  <c:v>C1S2G2</c:v>
                </c:pt>
                <c:pt idx="50">
                  <c:v>C1S2G5</c:v>
                </c:pt>
                <c:pt idx="51">
                  <c:v>C2S1G6</c:v>
                </c:pt>
                <c:pt idx="52">
                  <c:v>C2S1G4</c:v>
                </c:pt>
                <c:pt idx="53">
                  <c:v>C1S2G5</c:v>
                </c:pt>
                <c:pt idx="54">
                  <c:v>C1S3G6</c:v>
                </c:pt>
                <c:pt idx="55">
                  <c:v>C1S3G2</c:v>
                </c:pt>
                <c:pt idx="56">
                  <c:v>C2S2G4</c:v>
                </c:pt>
              </c:strCache>
            </c:strRef>
          </c:cat>
          <c:val>
            <c:numRef>
              <c:f>'CLEAN DATA'!$O$2:$O$58</c:f>
              <c:numCache>
                <c:formatCode>General</c:formatCode>
                <c:ptCount val="57"/>
                <c:pt idx="0">
                  <c:v>0.82</c:v>
                </c:pt>
                <c:pt idx="1">
                  <c:v>0.15</c:v>
                </c:pt>
                <c:pt idx="2">
                  <c:v>0.6</c:v>
                </c:pt>
                <c:pt idx="3">
                  <c:v>0.18</c:v>
                </c:pt>
                <c:pt idx="4">
                  <c:v>0.32</c:v>
                </c:pt>
                <c:pt idx="5">
                  <c:v>0.7</c:v>
                </c:pt>
                <c:pt idx="6">
                  <c:v>0.3</c:v>
                </c:pt>
                <c:pt idx="7">
                  <c:v>0.4</c:v>
                </c:pt>
                <c:pt idx="8">
                  <c:v>0.6</c:v>
                </c:pt>
                <c:pt idx="9">
                  <c:v>0.48</c:v>
                </c:pt>
                <c:pt idx="10">
                  <c:v>0.48</c:v>
                </c:pt>
                <c:pt idx="11">
                  <c:v>0.84</c:v>
                </c:pt>
                <c:pt idx="12">
                  <c:v>0.32</c:v>
                </c:pt>
                <c:pt idx="13">
                  <c:v>0.36</c:v>
                </c:pt>
                <c:pt idx="14">
                  <c:v>0.83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0.33</c:v>
                </c:pt>
                <c:pt idx="19">
                  <c:v>0.16</c:v>
                </c:pt>
                <c:pt idx="20">
                  <c:v>0.6</c:v>
                </c:pt>
                <c:pt idx="21">
                  <c:v>0.4</c:v>
                </c:pt>
                <c:pt idx="22">
                  <c:v>0.42</c:v>
                </c:pt>
                <c:pt idx="23">
                  <c:v>0.78</c:v>
                </c:pt>
                <c:pt idx="24">
                  <c:v>0.5</c:v>
                </c:pt>
                <c:pt idx="25">
                  <c:v>0.6</c:v>
                </c:pt>
                <c:pt idx="26">
                  <c:v>0.78</c:v>
                </c:pt>
                <c:pt idx="27">
                  <c:v>0.14000000000000001</c:v>
                </c:pt>
                <c:pt idx="28">
                  <c:v>0.42</c:v>
                </c:pt>
                <c:pt idx="29">
                  <c:v>0.7</c:v>
                </c:pt>
                <c:pt idx="30">
                  <c:v>0.6</c:v>
                </c:pt>
                <c:pt idx="31">
                  <c:v>0.23</c:v>
                </c:pt>
                <c:pt idx="32">
                  <c:v>0.84</c:v>
                </c:pt>
                <c:pt idx="33">
                  <c:v>0.15</c:v>
                </c:pt>
                <c:pt idx="34">
                  <c:v>0.6</c:v>
                </c:pt>
                <c:pt idx="35">
                  <c:v>0.18</c:v>
                </c:pt>
                <c:pt idx="36">
                  <c:v>0.5</c:v>
                </c:pt>
                <c:pt idx="37">
                  <c:v>0.44</c:v>
                </c:pt>
                <c:pt idx="38">
                  <c:v>0.4</c:v>
                </c:pt>
                <c:pt idx="39">
                  <c:v>0.84</c:v>
                </c:pt>
                <c:pt idx="40">
                  <c:v>0.6</c:v>
                </c:pt>
                <c:pt idx="41">
                  <c:v>0.5</c:v>
                </c:pt>
                <c:pt idx="42">
                  <c:v>0.5</c:v>
                </c:pt>
                <c:pt idx="43">
                  <c:v>0.33</c:v>
                </c:pt>
                <c:pt idx="44">
                  <c:v>0.57999999999999996</c:v>
                </c:pt>
                <c:pt idx="45">
                  <c:v>0.14000000000000001</c:v>
                </c:pt>
                <c:pt idx="46">
                  <c:v>0.36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0.43</c:v>
                </c:pt>
                <c:pt idx="51">
                  <c:v>0.12</c:v>
                </c:pt>
                <c:pt idx="52">
                  <c:v>0.7</c:v>
                </c:pt>
                <c:pt idx="53">
                  <c:v>0.42</c:v>
                </c:pt>
                <c:pt idx="54">
                  <c:v>0.6</c:v>
                </c:pt>
                <c:pt idx="55">
                  <c:v>0.36</c:v>
                </c:pt>
                <c:pt idx="56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8-46AE-920E-E58A0D02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7885919"/>
        <c:axId val="1947886399"/>
      </c:barChart>
      <c:catAx>
        <c:axId val="1947885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Parameters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6399"/>
        <c:crosses val="autoZero"/>
        <c:auto val="1"/>
        <c:lblAlgn val="ctr"/>
        <c:lblOffset val="100"/>
        <c:noMultiLvlLbl val="0"/>
      </c:catAx>
      <c:valAx>
        <c:axId val="194788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Protein Content (PCO)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88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Plant</a:t>
            </a:r>
            <a:r>
              <a:rPr lang="en-US" baseline="0"/>
              <a:t> Height (PH)</a:t>
            </a:r>
            <a:endParaRPr lang="en-US"/>
          </a:p>
        </c:rich>
      </c:tx>
      <c:layout>
        <c:manualLayout>
          <c:xMode val="edge"/>
          <c:yMode val="edge"/>
          <c:x val="0.1277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DATA'!$C$2:$C$58</c:f>
              <c:numCache>
                <c:formatCode>General</c:formatCode>
                <c:ptCount val="57"/>
                <c:pt idx="0">
                  <c:v>50.5</c:v>
                </c:pt>
                <c:pt idx="1">
                  <c:v>52.2</c:v>
                </c:pt>
                <c:pt idx="2">
                  <c:v>49.2</c:v>
                </c:pt>
                <c:pt idx="3">
                  <c:v>49.3</c:v>
                </c:pt>
                <c:pt idx="4">
                  <c:v>50.2</c:v>
                </c:pt>
                <c:pt idx="5">
                  <c:v>52.2</c:v>
                </c:pt>
                <c:pt idx="6">
                  <c:v>54.3</c:v>
                </c:pt>
                <c:pt idx="7">
                  <c:v>50.3</c:v>
                </c:pt>
                <c:pt idx="8">
                  <c:v>51.3</c:v>
                </c:pt>
                <c:pt idx="9">
                  <c:v>50</c:v>
                </c:pt>
                <c:pt idx="10">
                  <c:v>52.6</c:v>
                </c:pt>
                <c:pt idx="11">
                  <c:v>50.3</c:v>
                </c:pt>
                <c:pt idx="12">
                  <c:v>55.3</c:v>
                </c:pt>
                <c:pt idx="13">
                  <c:v>49.2</c:v>
                </c:pt>
                <c:pt idx="14">
                  <c:v>51.3</c:v>
                </c:pt>
                <c:pt idx="15">
                  <c:v>51.2</c:v>
                </c:pt>
                <c:pt idx="16">
                  <c:v>52.7</c:v>
                </c:pt>
                <c:pt idx="17">
                  <c:v>50</c:v>
                </c:pt>
                <c:pt idx="18">
                  <c:v>55.3</c:v>
                </c:pt>
                <c:pt idx="19">
                  <c:v>47.3</c:v>
                </c:pt>
                <c:pt idx="20">
                  <c:v>49</c:v>
                </c:pt>
                <c:pt idx="21">
                  <c:v>53.4</c:v>
                </c:pt>
                <c:pt idx="22">
                  <c:v>50.3</c:v>
                </c:pt>
                <c:pt idx="23">
                  <c:v>47.4</c:v>
                </c:pt>
                <c:pt idx="24">
                  <c:v>50.6</c:v>
                </c:pt>
                <c:pt idx="25">
                  <c:v>52</c:v>
                </c:pt>
                <c:pt idx="26">
                  <c:v>53.2</c:v>
                </c:pt>
                <c:pt idx="27">
                  <c:v>49.2</c:v>
                </c:pt>
                <c:pt idx="28">
                  <c:v>49</c:v>
                </c:pt>
                <c:pt idx="29">
                  <c:v>48.3</c:v>
                </c:pt>
                <c:pt idx="30">
                  <c:v>52.8</c:v>
                </c:pt>
                <c:pt idx="31">
                  <c:v>52.2</c:v>
                </c:pt>
                <c:pt idx="32">
                  <c:v>51</c:v>
                </c:pt>
                <c:pt idx="33">
                  <c:v>47.7</c:v>
                </c:pt>
                <c:pt idx="34">
                  <c:v>51.2</c:v>
                </c:pt>
                <c:pt idx="35">
                  <c:v>48.2</c:v>
                </c:pt>
                <c:pt idx="36">
                  <c:v>49.8</c:v>
                </c:pt>
                <c:pt idx="37">
                  <c:v>51.3</c:v>
                </c:pt>
                <c:pt idx="38">
                  <c:v>51.3</c:v>
                </c:pt>
                <c:pt idx="39">
                  <c:v>50.5</c:v>
                </c:pt>
                <c:pt idx="40">
                  <c:v>50.2</c:v>
                </c:pt>
                <c:pt idx="41">
                  <c:v>50</c:v>
                </c:pt>
                <c:pt idx="42">
                  <c:v>47</c:v>
                </c:pt>
                <c:pt idx="43">
                  <c:v>50</c:v>
                </c:pt>
                <c:pt idx="44">
                  <c:v>50</c:v>
                </c:pt>
                <c:pt idx="45">
                  <c:v>49.5</c:v>
                </c:pt>
                <c:pt idx="46">
                  <c:v>55.3</c:v>
                </c:pt>
                <c:pt idx="47">
                  <c:v>51.2</c:v>
                </c:pt>
                <c:pt idx="48">
                  <c:v>52.2</c:v>
                </c:pt>
                <c:pt idx="49">
                  <c:v>49.8</c:v>
                </c:pt>
                <c:pt idx="50">
                  <c:v>51</c:v>
                </c:pt>
                <c:pt idx="51">
                  <c:v>50.4</c:v>
                </c:pt>
                <c:pt idx="52">
                  <c:v>50.3</c:v>
                </c:pt>
                <c:pt idx="53">
                  <c:v>50</c:v>
                </c:pt>
                <c:pt idx="54">
                  <c:v>51.6</c:v>
                </c:pt>
                <c:pt idx="55">
                  <c:v>53.3</c:v>
                </c:pt>
                <c:pt idx="56">
                  <c:v>52.2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A2-4665-B987-B6A24674A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Plant Height (PH)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Number of Pods (NP)</a:t>
            </a:r>
          </a:p>
        </c:rich>
      </c:tx>
      <c:layout>
        <c:manualLayout>
          <c:xMode val="edge"/>
          <c:yMode val="edge"/>
          <c:x val="0.1277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DATA'!$D$2:$D$58</c:f>
              <c:numCache>
                <c:formatCode>General</c:formatCode>
                <c:ptCount val="57"/>
                <c:pt idx="0">
                  <c:v>130.30000000000001</c:v>
                </c:pt>
                <c:pt idx="1">
                  <c:v>150</c:v>
                </c:pt>
                <c:pt idx="2">
                  <c:v>175.6</c:v>
                </c:pt>
                <c:pt idx="3">
                  <c:v>155</c:v>
                </c:pt>
                <c:pt idx="4">
                  <c:v>129</c:v>
                </c:pt>
                <c:pt idx="5">
                  <c:v>147</c:v>
                </c:pt>
                <c:pt idx="6">
                  <c:v>159</c:v>
                </c:pt>
                <c:pt idx="7">
                  <c:v>141.19999999999999</c:v>
                </c:pt>
                <c:pt idx="8">
                  <c:v>136.19999999999999</c:v>
                </c:pt>
                <c:pt idx="9">
                  <c:v>137.30000000000001</c:v>
                </c:pt>
                <c:pt idx="10">
                  <c:v>158</c:v>
                </c:pt>
                <c:pt idx="11">
                  <c:v>150</c:v>
                </c:pt>
                <c:pt idx="12">
                  <c:v>145</c:v>
                </c:pt>
                <c:pt idx="13">
                  <c:v>162.6</c:v>
                </c:pt>
                <c:pt idx="14">
                  <c:v>130</c:v>
                </c:pt>
                <c:pt idx="15">
                  <c:v>149</c:v>
                </c:pt>
                <c:pt idx="16">
                  <c:v>142</c:v>
                </c:pt>
                <c:pt idx="17">
                  <c:v>127</c:v>
                </c:pt>
                <c:pt idx="18">
                  <c:v>146</c:v>
                </c:pt>
                <c:pt idx="19">
                  <c:v>127</c:v>
                </c:pt>
                <c:pt idx="20">
                  <c:v>132.69999999999999</c:v>
                </c:pt>
                <c:pt idx="21">
                  <c:v>161</c:v>
                </c:pt>
                <c:pt idx="22">
                  <c:v>157.69999999999999</c:v>
                </c:pt>
                <c:pt idx="23">
                  <c:v>150.5</c:v>
                </c:pt>
                <c:pt idx="24">
                  <c:v>141</c:v>
                </c:pt>
                <c:pt idx="25">
                  <c:v>135.9</c:v>
                </c:pt>
                <c:pt idx="26">
                  <c:v>129</c:v>
                </c:pt>
                <c:pt idx="27">
                  <c:v>148</c:v>
                </c:pt>
                <c:pt idx="28">
                  <c:v>127.5</c:v>
                </c:pt>
                <c:pt idx="29">
                  <c:v>152</c:v>
                </c:pt>
                <c:pt idx="30">
                  <c:v>143</c:v>
                </c:pt>
                <c:pt idx="31">
                  <c:v>159</c:v>
                </c:pt>
                <c:pt idx="32">
                  <c:v>128.9</c:v>
                </c:pt>
                <c:pt idx="33">
                  <c:v>157</c:v>
                </c:pt>
                <c:pt idx="34">
                  <c:v>130</c:v>
                </c:pt>
                <c:pt idx="35">
                  <c:v>129.80000000000001</c:v>
                </c:pt>
                <c:pt idx="36">
                  <c:v>145</c:v>
                </c:pt>
                <c:pt idx="37">
                  <c:v>130</c:v>
                </c:pt>
                <c:pt idx="38">
                  <c:v>132</c:v>
                </c:pt>
                <c:pt idx="39">
                  <c:v>150</c:v>
                </c:pt>
                <c:pt idx="40">
                  <c:v>158</c:v>
                </c:pt>
                <c:pt idx="41">
                  <c:v>174</c:v>
                </c:pt>
                <c:pt idx="42">
                  <c:v>129</c:v>
                </c:pt>
                <c:pt idx="43">
                  <c:v>159</c:v>
                </c:pt>
                <c:pt idx="44">
                  <c:v>166.3</c:v>
                </c:pt>
                <c:pt idx="45">
                  <c:v>128</c:v>
                </c:pt>
                <c:pt idx="46">
                  <c:v>147</c:v>
                </c:pt>
                <c:pt idx="47">
                  <c:v>148</c:v>
                </c:pt>
                <c:pt idx="48">
                  <c:v>129</c:v>
                </c:pt>
                <c:pt idx="49">
                  <c:v>167</c:v>
                </c:pt>
                <c:pt idx="50">
                  <c:v>129</c:v>
                </c:pt>
                <c:pt idx="51">
                  <c:v>148.19999999999999</c:v>
                </c:pt>
                <c:pt idx="52">
                  <c:v>144.69999999999999</c:v>
                </c:pt>
                <c:pt idx="53">
                  <c:v>128</c:v>
                </c:pt>
                <c:pt idx="54">
                  <c:v>159.69999999999999</c:v>
                </c:pt>
                <c:pt idx="55">
                  <c:v>160</c:v>
                </c:pt>
                <c:pt idx="56">
                  <c:v>156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A-454F-A06F-EDAC3ED37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Number of Pods (NP)</a:t>
                </a:r>
                <a:endParaRPr lang="en-US"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</a:t>
            </a:r>
            <a:r>
              <a:rPr lang="en-US" b="0"/>
              <a:t>Biological Weight (BW)</a:t>
            </a:r>
          </a:p>
        </c:rich>
      </c:tx>
      <c:layout>
        <c:manualLayout>
          <c:xMode val="edge"/>
          <c:yMode val="edge"/>
          <c:x val="0.1277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DATA'!$E$2:$E$58</c:f>
              <c:numCache>
                <c:formatCode>General</c:formatCode>
                <c:ptCount val="57"/>
                <c:pt idx="0">
                  <c:v>111</c:v>
                </c:pt>
                <c:pt idx="1">
                  <c:v>83</c:v>
                </c:pt>
                <c:pt idx="2">
                  <c:v>73</c:v>
                </c:pt>
                <c:pt idx="3">
                  <c:v>68</c:v>
                </c:pt>
                <c:pt idx="4">
                  <c:v>127</c:v>
                </c:pt>
                <c:pt idx="5">
                  <c:v>122</c:v>
                </c:pt>
                <c:pt idx="6">
                  <c:v>102</c:v>
                </c:pt>
                <c:pt idx="7">
                  <c:v>71</c:v>
                </c:pt>
                <c:pt idx="8">
                  <c:v>66</c:v>
                </c:pt>
                <c:pt idx="9">
                  <c:v>65</c:v>
                </c:pt>
                <c:pt idx="10">
                  <c:v>129</c:v>
                </c:pt>
                <c:pt idx="11">
                  <c:v>77</c:v>
                </c:pt>
                <c:pt idx="12">
                  <c:v>88</c:v>
                </c:pt>
                <c:pt idx="13">
                  <c:v>81</c:v>
                </c:pt>
                <c:pt idx="14">
                  <c:v>72</c:v>
                </c:pt>
                <c:pt idx="15">
                  <c:v>123</c:v>
                </c:pt>
                <c:pt idx="16">
                  <c:v>70</c:v>
                </c:pt>
                <c:pt idx="17">
                  <c:v>124</c:v>
                </c:pt>
                <c:pt idx="18">
                  <c:v>85</c:v>
                </c:pt>
                <c:pt idx="19">
                  <c:v>93</c:v>
                </c:pt>
                <c:pt idx="20">
                  <c:v>137</c:v>
                </c:pt>
                <c:pt idx="21">
                  <c:v>100</c:v>
                </c:pt>
                <c:pt idx="22">
                  <c:v>98</c:v>
                </c:pt>
                <c:pt idx="23">
                  <c:v>84</c:v>
                </c:pt>
                <c:pt idx="24">
                  <c:v>69</c:v>
                </c:pt>
                <c:pt idx="25">
                  <c:v>63</c:v>
                </c:pt>
                <c:pt idx="26">
                  <c:v>73</c:v>
                </c:pt>
                <c:pt idx="27">
                  <c:v>83</c:v>
                </c:pt>
                <c:pt idx="28">
                  <c:v>126</c:v>
                </c:pt>
                <c:pt idx="29">
                  <c:v>78</c:v>
                </c:pt>
                <c:pt idx="30">
                  <c:v>138</c:v>
                </c:pt>
                <c:pt idx="31">
                  <c:v>131</c:v>
                </c:pt>
                <c:pt idx="32">
                  <c:v>70</c:v>
                </c:pt>
                <c:pt idx="33">
                  <c:v>65</c:v>
                </c:pt>
                <c:pt idx="34">
                  <c:v>113</c:v>
                </c:pt>
                <c:pt idx="35">
                  <c:v>92</c:v>
                </c:pt>
                <c:pt idx="36">
                  <c:v>136</c:v>
                </c:pt>
                <c:pt idx="37">
                  <c:v>131</c:v>
                </c:pt>
                <c:pt idx="38">
                  <c:v>135</c:v>
                </c:pt>
                <c:pt idx="39">
                  <c:v>120</c:v>
                </c:pt>
                <c:pt idx="40">
                  <c:v>99</c:v>
                </c:pt>
                <c:pt idx="41">
                  <c:v>77</c:v>
                </c:pt>
                <c:pt idx="42">
                  <c:v>134</c:v>
                </c:pt>
                <c:pt idx="43">
                  <c:v>83</c:v>
                </c:pt>
                <c:pt idx="44">
                  <c:v>85</c:v>
                </c:pt>
                <c:pt idx="45">
                  <c:v>90</c:v>
                </c:pt>
                <c:pt idx="46">
                  <c:v>86</c:v>
                </c:pt>
                <c:pt idx="47">
                  <c:v>75</c:v>
                </c:pt>
                <c:pt idx="48">
                  <c:v>114</c:v>
                </c:pt>
                <c:pt idx="49">
                  <c:v>87</c:v>
                </c:pt>
                <c:pt idx="50">
                  <c:v>112</c:v>
                </c:pt>
                <c:pt idx="51">
                  <c:v>85</c:v>
                </c:pt>
                <c:pt idx="52">
                  <c:v>137</c:v>
                </c:pt>
                <c:pt idx="53">
                  <c:v>128</c:v>
                </c:pt>
                <c:pt idx="54">
                  <c:v>97</c:v>
                </c:pt>
                <c:pt idx="55">
                  <c:v>130</c:v>
                </c:pt>
                <c:pt idx="56">
                  <c:v>66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2-4DED-AA20-CDE43497B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Biological Weight (BW)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Sugars (Su)</a:t>
            </a:r>
          </a:p>
        </c:rich>
      </c:tx>
      <c:layout>
        <c:manualLayout>
          <c:xMode val="edge"/>
          <c:yMode val="edge"/>
          <c:x val="0.1277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DATA'!$F$2:$F$58</c:f>
              <c:numCache>
                <c:formatCode>General</c:formatCode>
                <c:ptCount val="57"/>
                <c:pt idx="0">
                  <c:v>0.433</c:v>
                </c:pt>
                <c:pt idx="1">
                  <c:v>0.49</c:v>
                </c:pt>
                <c:pt idx="2">
                  <c:v>0.79500000000000004</c:v>
                </c:pt>
                <c:pt idx="3">
                  <c:v>0.29799999999999999</c:v>
                </c:pt>
                <c:pt idx="4">
                  <c:v>0.317</c:v>
                </c:pt>
                <c:pt idx="5">
                  <c:v>0.55300000000000005</c:v>
                </c:pt>
                <c:pt idx="6">
                  <c:v>0.61299999999999999</c:v>
                </c:pt>
                <c:pt idx="7">
                  <c:v>0.84</c:v>
                </c:pt>
                <c:pt idx="8">
                  <c:v>0.88200000000000001</c:v>
                </c:pt>
                <c:pt idx="9">
                  <c:v>0.86099999999999999</c:v>
                </c:pt>
                <c:pt idx="10">
                  <c:v>0.16200000000000001</c:v>
                </c:pt>
                <c:pt idx="11">
                  <c:v>0.44500000000000001</c:v>
                </c:pt>
                <c:pt idx="12">
                  <c:v>0.16500000000000001</c:v>
                </c:pt>
                <c:pt idx="13">
                  <c:v>0.64500000000000002</c:v>
                </c:pt>
                <c:pt idx="14">
                  <c:v>0.998</c:v>
                </c:pt>
                <c:pt idx="15">
                  <c:v>0.502</c:v>
                </c:pt>
                <c:pt idx="16">
                  <c:v>0.182</c:v>
                </c:pt>
                <c:pt idx="17">
                  <c:v>0.32200000000000001</c:v>
                </c:pt>
                <c:pt idx="18">
                  <c:v>0.16200000000000001</c:v>
                </c:pt>
                <c:pt idx="19">
                  <c:v>0.65600000000000003</c:v>
                </c:pt>
                <c:pt idx="20">
                  <c:v>0.77200000000000002</c:v>
                </c:pt>
                <c:pt idx="21">
                  <c:v>0.61</c:v>
                </c:pt>
                <c:pt idx="22">
                  <c:v>0.25</c:v>
                </c:pt>
                <c:pt idx="23">
                  <c:v>0.33100000000000002</c:v>
                </c:pt>
                <c:pt idx="24">
                  <c:v>0.18</c:v>
                </c:pt>
                <c:pt idx="25">
                  <c:v>0.83199999999999996</c:v>
                </c:pt>
                <c:pt idx="26">
                  <c:v>0.98899999999999999</c:v>
                </c:pt>
                <c:pt idx="27">
                  <c:v>0.46</c:v>
                </c:pt>
                <c:pt idx="28">
                  <c:v>0.314</c:v>
                </c:pt>
                <c:pt idx="29">
                  <c:v>0.34399999999999997</c:v>
                </c:pt>
                <c:pt idx="30">
                  <c:v>0.46300000000000002</c:v>
                </c:pt>
                <c:pt idx="31">
                  <c:v>0.16300000000000001</c:v>
                </c:pt>
                <c:pt idx="32">
                  <c:v>1.1000000000000001</c:v>
                </c:pt>
                <c:pt idx="33">
                  <c:v>0.29399999999999998</c:v>
                </c:pt>
                <c:pt idx="34">
                  <c:v>0.43</c:v>
                </c:pt>
                <c:pt idx="35">
                  <c:v>0.67500000000000004</c:v>
                </c:pt>
                <c:pt idx="36">
                  <c:v>0.44700000000000001</c:v>
                </c:pt>
                <c:pt idx="37">
                  <c:v>0.53400000000000003</c:v>
                </c:pt>
                <c:pt idx="38">
                  <c:v>0.754</c:v>
                </c:pt>
                <c:pt idx="39">
                  <c:v>0.51200000000000001</c:v>
                </c:pt>
                <c:pt idx="40">
                  <c:v>0.21</c:v>
                </c:pt>
                <c:pt idx="41">
                  <c:v>0.77500000000000002</c:v>
                </c:pt>
                <c:pt idx="42">
                  <c:v>0.745</c:v>
                </c:pt>
                <c:pt idx="43">
                  <c:v>0.65700000000000003</c:v>
                </c:pt>
                <c:pt idx="44">
                  <c:v>0.52300000000000002</c:v>
                </c:pt>
                <c:pt idx="45">
                  <c:v>0.66100000000000003</c:v>
                </c:pt>
                <c:pt idx="46">
                  <c:v>0.161</c:v>
                </c:pt>
                <c:pt idx="47">
                  <c:v>0.35199999999999998</c:v>
                </c:pt>
                <c:pt idx="48">
                  <c:v>0.44800000000000001</c:v>
                </c:pt>
                <c:pt idx="49">
                  <c:v>0.51600000000000001</c:v>
                </c:pt>
                <c:pt idx="50">
                  <c:v>0.54400000000000004</c:v>
                </c:pt>
                <c:pt idx="51">
                  <c:v>0.48</c:v>
                </c:pt>
                <c:pt idx="52">
                  <c:v>0.42299999999999999</c:v>
                </c:pt>
                <c:pt idx="53">
                  <c:v>0.55400000000000005</c:v>
                </c:pt>
                <c:pt idx="54">
                  <c:v>0.23</c:v>
                </c:pt>
                <c:pt idx="55">
                  <c:v>0.16500000000000001</c:v>
                </c:pt>
                <c:pt idx="56">
                  <c:v>0.29499999999999998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8-4AD1-BDEE-5B147BCBC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Sugars (Su)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Relative Water Content in Leaves (RWCL)</a:t>
            </a:r>
          </a:p>
        </c:rich>
      </c:tx>
      <c:layout>
        <c:manualLayout>
          <c:xMode val="edge"/>
          <c:yMode val="edge"/>
          <c:x val="0.1277777777777777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DATA'!$G$2:$G$58</c:f>
              <c:numCache>
                <c:formatCode>General</c:formatCode>
                <c:ptCount val="57"/>
                <c:pt idx="0">
                  <c:v>0.73199999999999998</c:v>
                </c:pt>
                <c:pt idx="1">
                  <c:v>0.67700000000000005</c:v>
                </c:pt>
                <c:pt idx="2">
                  <c:v>0.72499999999999998</c:v>
                </c:pt>
                <c:pt idx="3">
                  <c:v>0.67200000000000004</c:v>
                </c:pt>
                <c:pt idx="4">
                  <c:v>0.629</c:v>
                </c:pt>
                <c:pt idx="5">
                  <c:v>0.622</c:v>
                </c:pt>
                <c:pt idx="6">
                  <c:v>0.71</c:v>
                </c:pt>
                <c:pt idx="7">
                  <c:v>0.63900000000000001</c:v>
                </c:pt>
                <c:pt idx="8">
                  <c:v>0.66200000000000003</c:v>
                </c:pt>
                <c:pt idx="9">
                  <c:v>0.67400000000000004</c:v>
                </c:pt>
                <c:pt idx="10">
                  <c:v>0.69199999999999995</c:v>
                </c:pt>
                <c:pt idx="11">
                  <c:v>0.626</c:v>
                </c:pt>
                <c:pt idx="12">
                  <c:v>0.60099999999999998</c:v>
                </c:pt>
                <c:pt idx="13">
                  <c:v>0.71</c:v>
                </c:pt>
                <c:pt idx="14">
                  <c:v>0.65400000000000003</c:v>
                </c:pt>
                <c:pt idx="15">
                  <c:v>0.66300000000000003</c:v>
                </c:pt>
                <c:pt idx="16">
                  <c:v>0.61799999999999999</c:v>
                </c:pt>
                <c:pt idx="17">
                  <c:v>0.61199999999999999</c:v>
                </c:pt>
                <c:pt idx="18">
                  <c:v>0.59799999999999998</c:v>
                </c:pt>
                <c:pt idx="19">
                  <c:v>0.69799999999999995</c:v>
                </c:pt>
                <c:pt idx="20">
                  <c:v>0.72</c:v>
                </c:pt>
                <c:pt idx="21">
                  <c:v>0.72099999999999997</c:v>
                </c:pt>
                <c:pt idx="22">
                  <c:v>0.76500000000000001</c:v>
                </c:pt>
                <c:pt idx="23">
                  <c:v>0.73899999999999999</c:v>
                </c:pt>
                <c:pt idx="24">
                  <c:v>0.623</c:v>
                </c:pt>
                <c:pt idx="25">
                  <c:v>0.61099999999999999</c:v>
                </c:pt>
                <c:pt idx="26">
                  <c:v>0.67300000000000004</c:v>
                </c:pt>
                <c:pt idx="27">
                  <c:v>0.626</c:v>
                </c:pt>
                <c:pt idx="28">
                  <c:v>0.621</c:v>
                </c:pt>
                <c:pt idx="29">
                  <c:v>0.72199999999999998</c:v>
                </c:pt>
                <c:pt idx="30">
                  <c:v>0.70599999999999996</c:v>
                </c:pt>
                <c:pt idx="31">
                  <c:v>0.65400000000000003</c:v>
                </c:pt>
                <c:pt idx="32">
                  <c:v>0.66</c:v>
                </c:pt>
                <c:pt idx="33">
                  <c:v>0.625</c:v>
                </c:pt>
                <c:pt idx="34">
                  <c:v>0.76200000000000001</c:v>
                </c:pt>
                <c:pt idx="35">
                  <c:v>0.64</c:v>
                </c:pt>
                <c:pt idx="36">
                  <c:v>0.72299999999999998</c:v>
                </c:pt>
                <c:pt idx="37">
                  <c:v>0.67700000000000005</c:v>
                </c:pt>
                <c:pt idx="38">
                  <c:v>0.71199999999999997</c:v>
                </c:pt>
                <c:pt idx="39">
                  <c:v>0.71599999999999997</c:v>
                </c:pt>
                <c:pt idx="40">
                  <c:v>0.77400000000000002</c:v>
                </c:pt>
                <c:pt idx="41">
                  <c:v>0.73</c:v>
                </c:pt>
                <c:pt idx="42">
                  <c:v>0.72199999999999998</c:v>
                </c:pt>
                <c:pt idx="43">
                  <c:v>0.73299999999999998</c:v>
                </c:pt>
                <c:pt idx="44">
                  <c:v>0.67600000000000005</c:v>
                </c:pt>
                <c:pt idx="45">
                  <c:v>0.65400000000000003</c:v>
                </c:pt>
                <c:pt idx="46">
                  <c:v>0.63300000000000001</c:v>
                </c:pt>
                <c:pt idx="47">
                  <c:v>0.61299999999999999</c:v>
                </c:pt>
                <c:pt idx="48">
                  <c:v>0.72499999999999998</c:v>
                </c:pt>
                <c:pt idx="49">
                  <c:v>0.624</c:v>
                </c:pt>
                <c:pt idx="50">
                  <c:v>0.66900000000000004</c:v>
                </c:pt>
                <c:pt idx="51">
                  <c:v>0.625</c:v>
                </c:pt>
                <c:pt idx="52">
                  <c:v>0.72199999999999998</c:v>
                </c:pt>
                <c:pt idx="53">
                  <c:v>0.68300000000000005</c:v>
                </c:pt>
                <c:pt idx="54">
                  <c:v>0.752</c:v>
                </c:pt>
                <c:pt idx="55">
                  <c:v>0.65100000000000002</c:v>
                </c:pt>
                <c:pt idx="56">
                  <c:v>0.63200000000000001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3-41CD-91F6-06140AAD0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Relative Water Content in Leaves (RWCL)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ChlorophyllA663</a:t>
            </a:r>
          </a:p>
        </c:rich>
      </c:tx>
      <c:layout>
        <c:manualLayout>
          <c:xMode val="edge"/>
          <c:yMode val="edge"/>
          <c:x val="0.2222222222222222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DATA'!$H$2:$H$58</c:f>
              <c:numCache>
                <c:formatCode>General</c:formatCode>
                <c:ptCount val="57"/>
                <c:pt idx="0">
                  <c:v>1.4</c:v>
                </c:pt>
                <c:pt idx="1">
                  <c:v>1.8</c:v>
                </c:pt>
                <c:pt idx="2">
                  <c:v>7.5</c:v>
                </c:pt>
                <c:pt idx="3">
                  <c:v>7.2</c:v>
                </c:pt>
                <c:pt idx="4">
                  <c:v>10</c:v>
                </c:pt>
                <c:pt idx="5">
                  <c:v>2.2000000000000002</c:v>
                </c:pt>
                <c:pt idx="6">
                  <c:v>9.1999999999999993</c:v>
                </c:pt>
                <c:pt idx="7">
                  <c:v>1.1000000000000001</c:v>
                </c:pt>
                <c:pt idx="8">
                  <c:v>1.7</c:v>
                </c:pt>
                <c:pt idx="9">
                  <c:v>1.8</c:v>
                </c:pt>
                <c:pt idx="10">
                  <c:v>1.7</c:v>
                </c:pt>
                <c:pt idx="11">
                  <c:v>1.5</c:v>
                </c:pt>
                <c:pt idx="12">
                  <c:v>8.5</c:v>
                </c:pt>
                <c:pt idx="13">
                  <c:v>6.7</c:v>
                </c:pt>
                <c:pt idx="14">
                  <c:v>1.7</c:v>
                </c:pt>
                <c:pt idx="15">
                  <c:v>2.1</c:v>
                </c:pt>
                <c:pt idx="16">
                  <c:v>1.2</c:v>
                </c:pt>
                <c:pt idx="17">
                  <c:v>9.9</c:v>
                </c:pt>
                <c:pt idx="18">
                  <c:v>8</c:v>
                </c:pt>
                <c:pt idx="19">
                  <c:v>1.2</c:v>
                </c:pt>
                <c:pt idx="20">
                  <c:v>7.4</c:v>
                </c:pt>
                <c:pt idx="21">
                  <c:v>8.9</c:v>
                </c:pt>
                <c:pt idx="22">
                  <c:v>3.8</c:v>
                </c:pt>
                <c:pt idx="23">
                  <c:v>1</c:v>
                </c:pt>
                <c:pt idx="24">
                  <c:v>1.3</c:v>
                </c:pt>
                <c:pt idx="25">
                  <c:v>1.4</c:v>
                </c:pt>
                <c:pt idx="26">
                  <c:v>1.6</c:v>
                </c:pt>
                <c:pt idx="27">
                  <c:v>1.4</c:v>
                </c:pt>
                <c:pt idx="28">
                  <c:v>10.199999999999999</c:v>
                </c:pt>
                <c:pt idx="29">
                  <c:v>1.4</c:v>
                </c:pt>
                <c:pt idx="30">
                  <c:v>1.7</c:v>
                </c:pt>
                <c:pt idx="31">
                  <c:v>1.5</c:v>
                </c:pt>
                <c:pt idx="32">
                  <c:v>1.5</c:v>
                </c:pt>
                <c:pt idx="33">
                  <c:v>7.1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1.4</c:v>
                </c:pt>
                <c:pt idx="37">
                  <c:v>2.8</c:v>
                </c:pt>
                <c:pt idx="38">
                  <c:v>7</c:v>
                </c:pt>
                <c:pt idx="39">
                  <c:v>2.4</c:v>
                </c:pt>
                <c:pt idx="40">
                  <c:v>4.0999999999999996</c:v>
                </c:pt>
                <c:pt idx="41">
                  <c:v>7</c:v>
                </c:pt>
                <c:pt idx="42">
                  <c:v>7.2</c:v>
                </c:pt>
                <c:pt idx="43">
                  <c:v>6.3</c:v>
                </c:pt>
                <c:pt idx="44">
                  <c:v>8.5</c:v>
                </c:pt>
                <c:pt idx="45">
                  <c:v>1.3</c:v>
                </c:pt>
                <c:pt idx="46">
                  <c:v>8.1999999999999993</c:v>
                </c:pt>
                <c:pt idx="47">
                  <c:v>1.7</c:v>
                </c:pt>
                <c:pt idx="48">
                  <c:v>1.2</c:v>
                </c:pt>
                <c:pt idx="49">
                  <c:v>8.3000000000000007</c:v>
                </c:pt>
                <c:pt idx="50">
                  <c:v>2.2000000000000002</c:v>
                </c:pt>
                <c:pt idx="51">
                  <c:v>1.5</c:v>
                </c:pt>
                <c:pt idx="52">
                  <c:v>1.6</c:v>
                </c:pt>
                <c:pt idx="53">
                  <c:v>2.6</c:v>
                </c:pt>
                <c:pt idx="54">
                  <c:v>4.2</c:v>
                </c:pt>
                <c:pt idx="55">
                  <c:v>1.8</c:v>
                </c:pt>
                <c:pt idx="56">
                  <c:v>6.9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F-4B58-A906-43B02980A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ChlorophyllA663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Chlorophyllb649</a:t>
            </a:r>
          </a:p>
        </c:rich>
      </c:tx>
      <c:layout>
        <c:manualLayout>
          <c:xMode val="edge"/>
          <c:yMode val="edge"/>
          <c:x val="0.21666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DATA'!$I$2:$I$58</c:f>
              <c:numCache>
                <c:formatCode>General</c:formatCode>
                <c:ptCount val="57"/>
                <c:pt idx="0">
                  <c:v>3.1</c:v>
                </c:pt>
                <c:pt idx="1">
                  <c:v>1.3</c:v>
                </c:pt>
                <c:pt idx="2">
                  <c:v>2.1</c:v>
                </c:pt>
                <c:pt idx="3">
                  <c:v>1.2</c:v>
                </c:pt>
                <c:pt idx="4">
                  <c:v>2.6</c:v>
                </c:pt>
                <c:pt idx="5">
                  <c:v>3</c:v>
                </c:pt>
                <c:pt idx="6">
                  <c:v>2.1</c:v>
                </c:pt>
                <c:pt idx="7">
                  <c:v>3</c:v>
                </c:pt>
                <c:pt idx="8">
                  <c:v>3</c:v>
                </c:pt>
                <c:pt idx="9">
                  <c:v>3.2</c:v>
                </c:pt>
                <c:pt idx="10">
                  <c:v>3.1</c:v>
                </c:pt>
                <c:pt idx="11">
                  <c:v>2.2000000000000002</c:v>
                </c:pt>
                <c:pt idx="12">
                  <c:v>2.2999999999999998</c:v>
                </c:pt>
                <c:pt idx="13">
                  <c:v>1.2</c:v>
                </c:pt>
                <c:pt idx="14">
                  <c:v>3.2</c:v>
                </c:pt>
                <c:pt idx="15">
                  <c:v>3.1</c:v>
                </c:pt>
                <c:pt idx="16">
                  <c:v>3.2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1.1000000000000001</c:v>
                </c:pt>
                <c:pt idx="20">
                  <c:v>1.2</c:v>
                </c:pt>
                <c:pt idx="21">
                  <c:v>2.2000000000000002</c:v>
                </c:pt>
                <c:pt idx="22">
                  <c:v>2.2000000000000002</c:v>
                </c:pt>
                <c:pt idx="23">
                  <c:v>2.9</c:v>
                </c:pt>
                <c:pt idx="24">
                  <c:v>3.3</c:v>
                </c:pt>
                <c:pt idx="25">
                  <c:v>3.1</c:v>
                </c:pt>
                <c:pt idx="26">
                  <c:v>3.1</c:v>
                </c:pt>
                <c:pt idx="27">
                  <c:v>1.2</c:v>
                </c:pt>
                <c:pt idx="28">
                  <c:v>2.2000000000000002</c:v>
                </c:pt>
                <c:pt idx="29">
                  <c:v>2.1</c:v>
                </c:pt>
                <c:pt idx="30">
                  <c:v>2.8</c:v>
                </c:pt>
                <c:pt idx="31">
                  <c:v>3.2</c:v>
                </c:pt>
                <c:pt idx="32">
                  <c:v>3.3</c:v>
                </c:pt>
                <c:pt idx="33">
                  <c:v>1.3</c:v>
                </c:pt>
                <c:pt idx="34">
                  <c:v>3.5</c:v>
                </c:pt>
                <c:pt idx="35">
                  <c:v>1.5</c:v>
                </c:pt>
                <c:pt idx="36">
                  <c:v>2</c:v>
                </c:pt>
                <c:pt idx="37">
                  <c:v>2.2000000000000002</c:v>
                </c:pt>
                <c:pt idx="38">
                  <c:v>1.1000000000000001</c:v>
                </c:pt>
                <c:pt idx="39">
                  <c:v>3.4</c:v>
                </c:pt>
                <c:pt idx="40">
                  <c:v>2.1</c:v>
                </c:pt>
                <c:pt idx="41">
                  <c:v>2.2999999999999998</c:v>
                </c:pt>
                <c:pt idx="42">
                  <c:v>1.3</c:v>
                </c:pt>
                <c:pt idx="43">
                  <c:v>1.3</c:v>
                </c:pt>
                <c:pt idx="44">
                  <c:v>1.3</c:v>
                </c:pt>
                <c:pt idx="45">
                  <c:v>1.2</c:v>
                </c:pt>
                <c:pt idx="46">
                  <c:v>2.7</c:v>
                </c:pt>
                <c:pt idx="47">
                  <c:v>2.2999999999999998</c:v>
                </c:pt>
                <c:pt idx="48">
                  <c:v>3.2</c:v>
                </c:pt>
                <c:pt idx="49">
                  <c:v>1.1000000000000001</c:v>
                </c:pt>
                <c:pt idx="50">
                  <c:v>2.2999999999999998</c:v>
                </c:pt>
                <c:pt idx="51">
                  <c:v>1.7</c:v>
                </c:pt>
                <c:pt idx="52">
                  <c:v>2.2000000000000002</c:v>
                </c:pt>
                <c:pt idx="53">
                  <c:v>2.1</c:v>
                </c:pt>
                <c:pt idx="54">
                  <c:v>2.2999999999999998</c:v>
                </c:pt>
                <c:pt idx="55">
                  <c:v>3.2</c:v>
                </c:pt>
                <c:pt idx="56">
                  <c:v>1.1000000000000001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5-49DA-A0F0-F98B418AB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Chlorophyllb649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Protein Percentage (PPE)</a:t>
            </a:r>
          </a:p>
        </c:rich>
      </c:tx>
      <c:layout>
        <c:manualLayout>
          <c:xMode val="edge"/>
          <c:yMode val="edge"/>
          <c:x val="0.21666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DATA'!$J$2:$J$58</c:f>
              <c:numCache>
                <c:formatCode>General</c:formatCode>
                <c:ptCount val="57"/>
                <c:pt idx="0">
                  <c:v>33.200000000000003</c:v>
                </c:pt>
                <c:pt idx="1">
                  <c:v>33.6</c:v>
                </c:pt>
                <c:pt idx="2">
                  <c:v>39.6</c:v>
                </c:pt>
                <c:pt idx="3">
                  <c:v>31.1</c:v>
                </c:pt>
                <c:pt idx="4">
                  <c:v>38.1</c:v>
                </c:pt>
                <c:pt idx="5">
                  <c:v>33.799999999999997</c:v>
                </c:pt>
                <c:pt idx="6">
                  <c:v>39.1</c:v>
                </c:pt>
                <c:pt idx="7">
                  <c:v>35.299999999999997</c:v>
                </c:pt>
                <c:pt idx="8">
                  <c:v>34.4</c:v>
                </c:pt>
                <c:pt idx="9">
                  <c:v>33</c:v>
                </c:pt>
                <c:pt idx="10">
                  <c:v>37.6</c:v>
                </c:pt>
                <c:pt idx="11">
                  <c:v>32.9</c:v>
                </c:pt>
                <c:pt idx="12">
                  <c:v>36.200000000000003</c:v>
                </c:pt>
                <c:pt idx="13">
                  <c:v>37</c:v>
                </c:pt>
                <c:pt idx="14">
                  <c:v>31.7</c:v>
                </c:pt>
                <c:pt idx="15">
                  <c:v>39.1</c:v>
                </c:pt>
                <c:pt idx="16">
                  <c:v>37.700000000000003</c:v>
                </c:pt>
                <c:pt idx="17">
                  <c:v>35.4</c:v>
                </c:pt>
                <c:pt idx="18">
                  <c:v>33.200000000000003</c:v>
                </c:pt>
                <c:pt idx="19">
                  <c:v>37.200000000000003</c:v>
                </c:pt>
                <c:pt idx="20">
                  <c:v>39.9</c:v>
                </c:pt>
                <c:pt idx="21">
                  <c:v>31.9</c:v>
                </c:pt>
                <c:pt idx="22">
                  <c:v>38.700000000000003</c:v>
                </c:pt>
                <c:pt idx="23">
                  <c:v>32.1</c:v>
                </c:pt>
                <c:pt idx="24">
                  <c:v>37.299999999999997</c:v>
                </c:pt>
                <c:pt idx="25">
                  <c:v>33.6</c:v>
                </c:pt>
                <c:pt idx="26">
                  <c:v>33</c:v>
                </c:pt>
                <c:pt idx="27">
                  <c:v>32.1</c:v>
                </c:pt>
                <c:pt idx="28">
                  <c:v>37.6</c:v>
                </c:pt>
                <c:pt idx="29">
                  <c:v>36.6</c:v>
                </c:pt>
                <c:pt idx="30">
                  <c:v>33.5</c:v>
                </c:pt>
                <c:pt idx="31">
                  <c:v>35.299999999999997</c:v>
                </c:pt>
                <c:pt idx="32">
                  <c:v>39.6</c:v>
                </c:pt>
                <c:pt idx="33">
                  <c:v>33.5</c:v>
                </c:pt>
                <c:pt idx="34">
                  <c:v>37.4</c:v>
                </c:pt>
                <c:pt idx="35">
                  <c:v>38.200000000000003</c:v>
                </c:pt>
                <c:pt idx="36">
                  <c:v>37.6</c:v>
                </c:pt>
                <c:pt idx="37">
                  <c:v>35.299999999999997</c:v>
                </c:pt>
                <c:pt idx="38">
                  <c:v>37.700000000000003</c:v>
                </c:pt>
                <c:pt idx="39">
                  <c:v>32.5</c:v>
                </c:pt>
                <c:pt idx="40">
                  <c:v>39.9</c:v>
                </c:pt>
                <c:pt idx="41">
                  <c:v>36.4</c:v>
                </c:pt>
                <c:pt idx="42">
                  <c:v>37.6</c:v>
                </c:pt>
                <c:pt idx="43">
                  <c:v>36.200000000000003</c:v>
                </c:pt>
                <c:pt idx="44">
                  <c:v>36.5</c:v>
                </c:pt>
                <c:pt idx="45">
                  <c:v>36.9</c:v>
                </c:pt>
                <c:pt idx="46">
                  <c:v>37.299999999999997</c:v>
                </c:pt>
                <c:pt idx="47">
                  <c:v>33.4</c:v>
                </c:pt>
                <c:pt idx="48">
                  <c:v>34.299999999999997</c:v>
                </c:pt>
                <c:pt idx="49">
                  <c:v>38</c:v>
                </c:pt>
                <c:pt idx="50">
                  <c:v>37.4</c:v>
                </c:pt>
                <c:pt idx="51">
                  <c:v>35.299999999999997</c:v>
                </c:pt>
                <c:pt idx="52">
                  <c:v>33.6</c:v>
                </c:pt>
                <c:pt idx="53">
                  <c:v>38.4</c:v>
                </c:pt>
                <c:pt idx="54">
                  <c:v>36.6</c:v>
                </c:pt>
                <c:pt idx="55">
                  <c:v>33.6</c:v>
                </c:pt>
                <c:pt idx="56">
                  <c:v>32.299999999999997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6-454F-8151-2014370C8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Protein Percentage (PPE)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Weight of 300 Seeds (W3S)</a:t>
            </a:r>
          </a:p>
        </c:rich>
      </c:tx>
      <c:layout>
        <c:manualLayout>
          <c:xMode val="edge"/>
          <c:yMode val="edge"/>
          <c:x val="0.1305555555555555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DATA'!$K$2:$K$58</c:f>
              <c:numCache>
                <c:formatCode>General</c:formatCode>
                <c:ptCount val="57"/>
                <c:pt idx="0">
                  <c:v>33.6</c:v>
                </c:pt>
                <c:pt idx="1">
                  <c:v>35.200000000000003</c:v>
                </c:pt>
                <c:pt idx="2">
                  <c:v>31.2</c:v>
                </c:pt>
                <c:pt idx="3">
                  <c:v>38.1</c:v>
                </c:pt>
                <c:pt idx="4">
                  <c:v>34.5</c:v>
                </c:pt>
                <c:pt idx="5">
                  <c:v>32.200000000000003</c:v>
                </c:pt>
                <c:pt idx="6">
                  <c:v>29.9</c:v>
                </c:pt>
                <c:pt idx="7">
                  <c:v>32.1</c:v>
                </c:pt>
                <c:pt idx="8">
                  <c:v>35.299999999999997</c:v>
                </c:pt>
                <c:pt idx="9">
                  <c:v>37.1</c:v>
                </c:pt>
                <c:pt idx="10">
                  <c:v>37.700000000000003</c:v>
                </c:pt>
                <c:pt idx="11">
                  <c:v>35.4</c:v>
                </c:pt>
                <c:pt idx="12">
                  <c:v>33.200000000000003</c:v>
                </c:pt>
                <c:pt idx="13">
                  <c:v>33.9</c:v>
                </c:pt>
                <c:pt idx="14">
                  <c:v>31.1</c:v>
                </c:pt>
                <c:pt idx="15">
                  <c:v>33.6</c:v>
                </c:pt>
                <c:pt idx="16">
                  <c:v>31.8</c:v>
                </c:pt>
                <c:pt idx="17">
                  <c:v>33.299999999999997</c:v>
                </c:pt>
                <c:pt idx="18">
                  <c:v>35.200000000000003</c:v>
                </c:pt>
                <c:pt idx="19">
                  <c:v>34.5</c:v>
                </c:pt>
                <c:pt idx="20">
                  <c:v>34.299999999999997</c:v>
                </c:pt>
                <c:pt idx="21">
                  <c:v>28.9</c:v>
                </c:pt>
                <c:pt idx="22">
                  <c:v>29.2</c:v>
                </c:pt>
                <c:pt idx="23">
                  <c:v>39.700000000000003</c:v>
                </c:pt>
                <c:pt idx="24">
                  <c:v>30.6</c:v>
                </c:pt>
                <c:pt idx="25">
                  <c:v>37.6</c:v>
                </c:pt>
                <c:pt idx="26">
                  <c:v>30.3</c:v>
                </c:pt>
                <c:pt idx="27">
                  <c:v>32.200000000000003</c:v>
                </c:pt>
                <c:pt idx="28">
                  <c:v>35.4</c:v>
                </c:pt>
                <c:pt idx="29">
                  <c:v>33.200000000000003</c:v>
                </c:pt>
                <c:pt idx="30">
                  <c:v>36.1</c:v>
                </c:pt>
                <c:pt idx="31">
                  <c:v>34.299999999999997</c:v>
                </c:pt>
                <c:pt idx="32">
                  <c:v>29.6</c:v>
                </c:pt>
                <c:pt idx="33">
                  <c:v>33.4</c:v>
                </c:pt>
                <c:pt idx="34">
                  <c:v>36.4</c:v>
                </c:pt>
                <c:pt idx="35">
                  <c:v>33.6</c:v>
                </c:pt>
                <c:pt idx="36">
                  <c:v>36.4</c:v>
                </c:pt>
                <c:pt idx="37">
                  <c:v>33.6</c:v>
                </c:pt>
                <c:pt idx="38">
                  <c:v>31.6</c:v>
                </c:pt>
                <c:pt idx="39">
                  <c:v>34.700000000000003</c:v>
                </c:pt>
                <c:pt idx="40">
                  <c:v>27.4</c:v>
                </c:pt>
                <c:pt idx="41">
                  <c:v>32.200000000000003</c:v>
                </c:pt>
                <c:pt idx="42">
                  <c:v>33.200000000000003</c:v>
                </c:pt>
                <c:pt idx="43">
                  <c:v>37.700000000000003</c:v>
                </c:pt>
                <c:pt idx="44">
                  <c:v>35.200000000000003</c:v>
                </c:pt>
                <c:pt idx="45">
                  <c:v>34.200000000000003</c:v>
                </c:pt>
                <c:pt idx="46">
                  <c:v>36.6</c:v>
                </c:pt>
                <c:pt idx="47">
                  <c:v>37.299999999999997</c:v>
                </c:pt>
                <c:pt idx="48">
                  <c:v>38.4</c:v>
                </c:pt>
                <c:pt idx="49">
                  <c:v>32.6</c:v>
                </c:pt>
                <c:pt idx="50">
                  <c:v>36.700000000000003</c:v>
                </c:pt>
                <c:pt idx="51">
                  <c:v>33.5</c:v>
                </c:pt>
                <c:pt idx="52">
                  <c:v>37.200000000000003</c:v>
                </c:pt>
                <c:pt idx="53">
                  <c:v>35.299999999999997</c:v>
                </c:pt>
                <c:pt idx="54">
                  <c:v>28.4</c:v>
                </c:pt>
                <c:pt idx="55">
                  <c:v>34.5</c:v>
                </c:pt>
                <c:pt idx="56">
                  <c:v>35.299999999999997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31-4EF7-B1A9-BEC2F774C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Weight of 300 Seeds (W3S)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Leaf Area Index (LAI)</a:t>
            </a:r>
          </a:p>
        </c:rich>
      </c:tx>
      <c:layout>
        <c:manualLayout>
          <c:xMode val="edge"/>
          <c:yMode val="edge"/>
          <c:x val="0.1305555555555555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DATA'!$M$1</c:f>
              <c:strCache>
                <c:ptCount val="1"/>
                <c:pt idx="0">
                  <c:v>Seed Yield per Unit Area (SYUA)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DATA'!$L$2:$L$58</c:f>
              <c:numCache>
                <c:formatCode>General</c:formatCode>
                <c:ptCount val="57"/>
                <c:pt idx="0">
                  <c:v>0.08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0.06</c:v>
                </c:pt>
                <c:pt idx="4">
                  <c:v>0.05</c:v>
                </c:pt>
                <c:pt idx="5">
                  <c:v>0.06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0.04</c:v>
                </c:pt>
                <c:pt idx="9">
                  <c:v>0.03</c:v>
                </c:pt>
                <c:pt idx="10">
                  <c:v>0.09</c:v>
                </c:pt>
                <c:pt idx="11">
                  <c:v>0.09</c:v>
                </c:pt>
                <c:pt idx="12">
                  <c:v>0.1</c:v>
                </c:pt>
                <c:pt idx="13">
                  <c:v>0.02</c:v>
                </c:pt>
                <c:pt idx="14">
                  <c:v>0.09</c:v>
                </c:pt>
                <c:pt idx="15">
                  <c:v>0.09</c:v>
                </c:pt>
                <c:pt idx="16">
                  <c:v>0.05</c:v>
                </c:pt>
                <c:pt idx="17">
                  <c:v>0.04</c:v>
                </c:pt>
                <c:pt idx="18">
                  <c:v>0.09</c:v>
                </c:pt>
                <c:pt idx="19">
                  <c:v>0.06</c:v>
                </c:pt>
                <c:pt idx="20">
                  <c:v>0.09</c:v>
                </c:pt>
                <c:pt idx="21">
                  <c:v>0.09</c:v>
                </c:pt>
                <c:pt idx="22">
                  <c:v>0.04</c:v>
                </c:pt>
                <c:pt idx="23">
                  <c:v>0.03</c:v>
                </c:pt>
                <c:pt idx="24">
                  <c:v>0.06</c:v>
                </c:pt>
                <c:pt idx="25">
                  <c:v>0.05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0.03</c:v>
                </c:pt>
                <c:pt idx="29">
                  <c:v>0.09</c:v>
                </c:pt>
                <c:pt idx="30">
                  <c:v>0.09</c:v>
                </c:pt>
                <c:pt idx="31">
                  <c:v>0.09</c:v>
                </c:pt>
                <c:pt idx="32">
                  <c:v>0.08</c:v>
                </c:pt>
                <c:pt idx="33">
                  <c:v>0.08</c:v>
                </c:pt>
                <c:pt idx="34">
                  <c:v>0.1</c:v>
                </c:pt>
                <c:pt idx="35">
                  <c:v>0.05</c:v>
                </c:pt>
                <c:pt idx="36">
                  <c:v>0.05</c:v>
                </c:pt>
                <c:pt idx="37">
                  <c:v>0.08</c:v>
                </c:pt>
                <c:pt idx="38">
                  <c:v>7.0000000000000007E-2</c:v>
                </c:pt>
                <c:pt idx="39">
                  <c:v>0.08</c:v>
                </c:pt>
                <c:pt idx="40">
                  <c:v>0.05</c:v>
                </c:pt>
                <c:pt idx="41">
                  <c:v>0.09</c:v>
                </c:pt>
                <c:pt idx="42">
                  <c:v>0.09</c:v>
                </c:pt>
                <c:pt idx="43">
                  <c:v>0.04</c:v>
                </c:pt>
                <c:pt idx="44">
                  <c:v>0.08</c:v>
                </c:pt>
                <c:pt idx="45">
                  <c:v>0.06</c:v>
                </c:pt>
                <c:pt idx="46">
                  <c:v>0.08</c:v>
                </c:pt>
                <c:pt idx="47">
                  <c:v>0.1</c:v>
                </c:pt>
                <c:pt idx="48">
                  <c:v>0.09</c:v>
                </c:pt>
                <c:pt idx="49">
                  <c:v>0.1</c:v>
                </c:pt>
                <c:pt idx="50">
                  <c:v>0.1</c:v>
                </c:pt>
                <c:pt idx="51">
                  <c:v>0.09</c:v>
                </c:pt>
                <c:pt idx="52">
                  <c:v>7.0000000000000007E-2</c:v>
                </c:pt>
                <c:pt idx="53">
                  <c:v>0.09</c:v>
                </c:pt>
                <c:pt idx="54">
                  <c:v>0.03</c:v>
                </c:pt>
                <c:pt idx="55">
                  <c:v>0.1</c:v>
                </c:pt>
                <c:pt idx="56">
                  <c:v>0.09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5-4584-B44A-2474FD30A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Leaf Area Index (LAI)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Number of Seeds per Pod (NSP)</a:t>
            </a:r>
          </a:p>
        </c:rich>
      </c:tx>
      <c:layout>
        <c:manualLayout>
          <c:xMode val="edge"/>
          <c:yMode val="edge"/>
          <c:x val="0.1305555555555555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DATA'!$N$1</c:f>
              <c:strCache>
                <c:ptCount val="1"/>
                <c:pt idx="0">
                  <c:v>Number of Seeds per Pod (NSP)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xVal>
          <c:yVal>
            <c:numRef>
              <c:f>'CLEAN DATA'!$N$2:$N$58</c:f>
              <c:numCache>
                <c:formatCode>General</c:formatCode>
                <c:ptCount val="57"/>
                <c:pt idx="0">
                  <c:v>1.86</c:v>
                </c:pt>
                <c:pt idx="1">
                  <c:v>2.04</c:v>
                </c:pt>
                <c:pt idx="2">
                  <c:v>1.88</c:v>
                </c:pt>
                <c:pt idx="3">
                  <c:v>1.8</c:v>
                </c:pt>
                <c:pt idx="4">
                  <c:v>2.6</c:v>
                </c:pt>
                <c:pt idx="5">
                  <c:v>1.9</c:v>
                </c:pt>
                <c:pt idx="6">
                  <c:v>2.6</c:v>
                </c:pt>
                <c:pt idx="7">
                  <c:v>2.2000000000000002</c:v>
                </c:pt>
                <c:pt idx="8">
                  <c:v>2.08</c:v>
                </c:pt>
                <c:pt idx="9">
                  <c:v>2.2000000000000002</c:v>
                </c:pt>
                <c:pt idx="10">
                  <c:v>2.6</c:v>
                </c:pt>
                <c:pt idx="11">
                  <c:v>1.7</c:v>
                </c:pt>
                <c:pt idx="12">
                  <c:v>1.82</c:v>
                </c:pt>
                <c:pt idx="13">
                  <c:v>1.87</c:v>
                </c:pt>
                <c:pt idx="14">
                  <c:v>1.8</c:v>
                </c:pt>
                <c:pt idx="15">
                  <c:v>1.7</c:v>
                </c:pt>
                <c:pt idx="16">
                  <c:v>2.08</c:v>
                </c:pt>
                <c:pt idx="17">
                  <c:v>1.86</c:v>
                </c:pt>
                <c:pt idx="18">
                  <c:v>2.1</c:v>
                </c:pt>
                <c:pt idx="19">
                  <c:v>1.86</c:v>
                </c:pt>
                <c:pt idx="20">
                  <c:v>1.86</c:v>
                </c:pt>
                <c:pt idx="21">
                  <c:v>2.6</c:v>
                </c:pt>
                <c:pt idx="22">
                  <c:v>1.9</c:v>
                </c:pt>
                <c:pt idx="23">
                  <c:v>2.0499999999999998</c:v>
                </c:pt>
                <c:pt idx="24">
                  <c:v>2.1</c:v>
                </c:pt>
                <c:pt idx="25">
                  <c:v>1.9</c:v>
                </c:pt>
                <c:pt idx="26">
                  <c:v>1.88</c:v>
                </c:pt>
                <c:pt idx="27">
                  <c:v>2.2000000000000002</c:v>
                </c:pt>
                <c:pt idx="28">
                  <c:v>2.4</c:v>
                </c:pt>
                <c:pt idx="29">
                  <c:v>1.4</c:v>
                </c:pt>
                <c:pt idx="30">
                  <c:v>2.4</c:v>
                </c:pt>
                <c:pt idx="31">
                  <c:v>2.2000000000000002</c:v>
                </c:pt>
                <c:pt idx="32">
                  <c:v>1.8</c:v>
                </c:pt>
                <c:pt idx="33">
                  <c:v>2.0499999999999998</c:v>
                </c:pt>
                <c:pt idx="34">
                  <c:v>2.6</c:v>
                </c:pt>
                <c:pt idx="35">
                  <c:v>2.2000000000000002</c:v>
                </c:pt>
                <c:pt idx="36">
                  <c:v>2.08</c:v>
                </c:pt>
                <c:pt idx="37">
                  <c:v>1.84</c:v>
                </c:pt>
                <c:pt idx="38">
                  <c:v>2.08</c:v>
                </c:pt>
                <c:pt idx="39">
                  <c:v>1.8</c:v>
                </c:pt>
                <c:pt idx="40">
                  <c:v>2.1</c:v>
                </c:pt>
                <c:pt idx="41">
                  <c:v>2.08</c:v>
                </c:pt>
                <c:pt idx="42">
                  <c:v>2.2000000000000002</c:v>
                </c:pt>
                <c:pt idx="43">
                  <c:v>1.7</c:v>
                </c:pt>
                <c:pt idx="44">
                  <c:v>2.2000000000000002</c:v>
                </c:pt>
                <c:pt idx="45">
                  <c:v>1.85</c:v>
                </c:pt>
                <c:pt idx="46">
                  <c:v>2.2000000000000002</c:v>
                </c:pt>
                <c:pt idx="47">
                  <c:v>1.6</c:v>
                </c:pt>
                <c:pt idx="48">
                  <c:v>2.2000000000000002</c:v>
                </c:pt>
                <c:pt idx="49">
                  <c:v>2.08</c:v>
                </c:pt>
                <c:pt idx="50">
                  <c:v>2.06</c:v>
                </c:pt>
                <c:pt idx="51">
                  <c:v>2.2000000000000002</c:v>
                </c:pt>
                <c:pt idx="52">
                  <c:v>1.86</c:v>
                </c:pt>
                <c:pt idx="53">
                  <c:v>2.2000000000000002</c:v>
                </c:pt>
                <c:pt idx="54">
                  <c:v>1.8</c:v>
                </c:pt>
                <c:pt idx="55">
                  <c:v>2.6</c:v>
                </c:pt>
                <c:pt idx="56">
                  <c:v>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7-4909-B0D6-E10C3402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Number of Seeds per Pod (NSP)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Seed Yield per Unit Area (SYUA) vs. Protein Content (PCO)</a:t>
            </a:r>
          </a:p>
        </c:rich>
      </c:tx>
      <c:layout>
        <c:manualLayout>
          <c:xMode val="edge"/>
          <c:yMode val="edge"/>
          <c:x val="0.1305555555555555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 DATA'!$O$1</c:f>
              <c:strCache>
                <c:ptCount val="1"/>
                <c:pt idx="0">
                  <c:v>Protein Content (PCO)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xVal>
          <c:yVal>
            <c:numRef>
              <c:f>'CLEAN DATA'!$O$2:$O$58</c:f>
              <c:numCache>
                <c:formatCode>General</c:formatCode>
                <c:ptCount val="57"/>
                <c:pt idx="0">
                  <c:v>0.82</c:v>
                </c:pt>
                <c:pt idx="1">
                  <c:v>0.15</c:v>
                </c:pt>
                <c:pt idx="2">
                  <c:v>0.6</c:v>
                </c:pt>
                <c:pt idx="3">
                  <c:v>0.18</c:v>
                </c:pt>
                <c:pt idx="4">
                  <c:v>0.32</c:v>
                </c:pt>
                <c:pt idx="5">
                  <c:v>0.7</c:v>
                </c:pt>
                <c:pt idx="6">
                  <c:v>0.3</c:v>
                </c:pt>
                <c:pt idx="7">
                  <c:v>0.4</c:v>
                </c:pt>
                <c:pt idx="8">
                  <c:v>0.6</c:v>
                </c:pt>
                <c:pt idx="9">
                  <c:v>0.48</c:v>
                </c:pt>
                <c:pt idx="10">
                  <c:v>0.48</c:v>
                </c:pt>
                <c:pt idx="11">
                  <c:v>0.84</c:v>
                </c:pt>
                <c:pt idx="12">
                  <c:v>0.32</c:v>
                </c:pt>
                <c:pt idx="13">
                  <c:v>0.36</c:v>
                </c:pt>
                <c:pt idx="14">
                  <c:v>0.83</c:v>
                </c:pt>
                <c:pt idx="15">
                  <c:v>0.6</c:v>
                </c:pt>
                <c:pt idx="16">
                  <c:v>0.6</c:v>
                </c:pt>
                <c:pt idx="17">
                  <c:v>0.4</c:v>
                </c:pt>
                <c:pt idx="18">
                  <c:v>0.33</c:v>
                </c:pt>
                <c:pt idx="19">
                  <c:v>0.16</c:v>
                </c:pt>
                <c:pt idx="20">
                  <c:v>0.6</c:v>
                </c:pt>
                <c:pt idx="21">
                  <c:v>0.4</c:v>
                </c:pt>
                <c:pt idx="22">
                  <c:v>0.42</c:v>
                </c:pt>
                <c:pt idx="23">
                  <c:v>0.78</c:v>
                </c:pt>
                <c:pt idx="24">
                  <c:v>0.5</c:v>
                </c:pt>
                <c:pt idx="25">
                  <c:v>0.6</c:v>
                </c:pt>
                <c:pt idx="26">
                  <c:v>0.78</c:v>
                </c:pt>
                <c:pt idx="27">
                  <c:v>0.14000000000000001</c:v>
                </c:pt>
                <c:pt idx="28">
                  <c:v>0.42</c:v>
                </c:pt>
                <c:pt idx="29">
                  <c:v>0.7</c:v>
                </c:pt>
                <c:pt idx="30">
                  <c:v>0.6</c:v>
                </c:pt>
                <c:pt idx="31">
                  <c:v>0.23</c:v>
                </c:pt>
                <c:pt idx="32">
                  <c:v>0.84</c:v>
                </c:pt>
                <c:pt idx="33">
                  <c:v>0.15</c:v>
                </c:pt>
                <c:pt idx="34">
                  <c:v>0.6</c:v>
                </c:pt>
                <c:pt idx="35">
                  <c:v>0.18</c:v>
                </c:pt>
                <c:pt idx="36">
                  <c:v>0.5</c:v>
                </c:pt>
                <c:pt idx="37">
                  <c:v>0.44</c:v>
                </c:pt>
                <c:pt idx="38">
                  <c:v>0.4</c:v>
                </c:pt>
                <c:pt idx="39">
                  <c:v>0.84</c:v>
                </c:pt>
                <c:pt idx="40">
                  <c:v>0.6</c:v>
                </c:pt>
                <c:pt idx="41">
                  <c:v>0.5</c:v>
                </c:pt>
                <c:pt idx="42">
                  <c:v>0.5</c:v>
                </c:pt>
                <c:pt idx="43">
                  <c:v>0.33</c:v>
                </c:pt>
                <c:pt idx="44">
                  <c:v>0.57999999999999996</c:v>
                </c:pt>
                <c:pt idx="45">
                  <c:v>0.14000000000000001</c:v>
                </c:pt>
                <c:pt idx="46">
                  <c:v>0.36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0.43</c:v>
                </c:pt>
                <c:pt idx="51">
                  <c:v>0.12</c:v>
                </c:pt>
                <c:pt idx="52">
                  <c:v>0.7</c:v>
                </c:pt>
                <c:pt idx="53">
                  <c:v>0.42</c:v>
                </c:pt>
                <c:pt idx="54">
                  <c:v>0.6</c:v>
                </c:pt>
                <c:pt idx="55">
                  <c:v>0.36</c:v>
                </c:pt>
                <c:pt idx="56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D-4AC7-B67C-303DECF71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409615"/>
        <c:axId val="1528553151"/>
      </c:scatterChart>
      <c:valAx>
        <c:axId val="103040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Protein Content (PCO)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53151"/>
        <c:crosses val="autoZero"/>
        <c:crossBetween val="midCat"/>
      </c:valAx>
      <c:valAx>
        <c:axId val="152855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</a:rPr>
                  <a:t>Seed Yield per Unit Area (SYUA)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40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Biological Weight (BW) vs. </a:t>
            </a:r>
            <a:r>
              <a:rPr lang="en-US" sz="1800" b="1" i="0" u="none" strike="noStrike" kern="1200" baseline="0">
                <a:solidFill>
                  <a:srgbClr val="000000"/>
                </a:solidFill>
              </a:rPr>
              <a:t>Seed Yield per Unit Area (SYUA)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Linear Regression</a:t>
            </a:r>
          </a:p>
        </c:rich>
      </c:tx>
      <c:layout>
        <c:manualLayout>
          <c:xMode val="edge"/>
          <c:yMode val="edge"/>
          <c:x val="0.20130039566919708"/>
          <c:y val="2.9994780435845417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Seed Yield per Unit Area (SYUA)</c:v>
          </c:tx>
          <c:spPr>
            <a:ln w="19050">
              <a:noFill/>
            </a:ln>
          </c:spPr>
          <c:xVal>
            <c:numRef>
              <c:f>'CLEAN DATA'!$E$2:$E$58</c:f>
              <c:numCache>
                <c:formatCode>General</c:formatCode>
                <c:ptCount val="57"/>
                <c:pt idx="0">
                  <c:v>111</c:v>
                </c:pt>
                <c:pt idx="1">
                  <c:v>83</c:v>
                </c:pt>
                <c:pt idx="2">
                  <c:v>73</c:v>
                </c:pt>
                <c:pt idx="3">
                  <c:v>68</c:v>
                </c:pt>
                <c:pt idx="4">
                  <c:v>127</c:v>
                </c:pt>
                <c:pt idx="5">
                  <c:v>122</c:v>
                </c:pt>
                <c:pt idx="6">
                  <c:v>102</c:v>
                </c:pt>
                <c:pt idx="7">
                  <c:v>71</c:v>
                </c:pt>
                <c:pt idx="8">
                  <c:v>66</c:v>
                </c:pt>
                <c:pt idx="9">
                  <c:v>65</c:v>
                </c:pt>
                <c:pt idx="10">
                  <c:v>129</c:v>
                </c:pt>
                <c:pt idx="11">
                  <c:v>77</c:v>
                </c:pt>
                <c:pt idx="12">
                  <c:v>88</c:v>
                </c:pt>
                <c:pt idx="13">
                  <c:v>81</c:v>
                </c:pt>
                <c:pt idx="14">
                  <c:v>72</c:v>
                </c:pt>
                <c:pt idx="15">
                  <c:v>123</c:v>
                </c:pt>
                <c:pt idx="16">
                  <c:v>70</c:v>
                </c:pt>
                <c:pt idx="17">
                  <c:v>124</c:v>
                </c:pt>
                <c:pt idx="18">
                  <c:v>85</c:v>
                </c:pt>
                <c:pt idx="19">
                  <c:v>93</c:v>
                </c:pt>
                <c:pt idx="20">
                  <c:v>137</c:v>
                </c:pt>
                <c:pt idx="21">
                  <c:v>100</c:v>
                </c:pt>
                <c:pt idx="22">
                  <c:v>98</c:v>
                </c:pt>
                <c:pt idx="23">
                  <c:v>84</c:v>
                </c:pt>
                <c:pt idx="24">
                  <c:v>69</c:v>
                </c:pt>
                <c:pt idx="25">
                  <c:v>63</c:v>
                </c:pt>
                <c:pt idx="26">
                  <c:v>73</c:v>
                </c:pt>
                <c:pt idx="27">
                  <c:v>83</c:v>
                </c:pt>
                <c:pt idx="28">
                  <c:v>126</c:v>
                </c:pt>
                <c:pt idx="29">
                  <c:v>78</c:v>
                </c:pt>
                <c:pt idx="30">
                  <c:v>138</c:v>
                </c:pt>
                <c:pt idx="31">
                  <c:v>131</c:v>
                </c:pt>
                <c:pt idx="32">
                  <c:v>70</c:v>
                </c:pt>
                <c:pt idx="33">
                  <c:v>65</c:v>
                </c:pt>
                <c:pt idx="34">
                  <c:v>113</c:v>
                </c:pt>
                <c:pt idx="35">
                  <c:v>92</c:v>
                </c:pt>
                <c:pt idx="36">
                  <c:v>136</c:v>
                </c:pt>
                <c:pt idx="37">
                  <c:v>131</c:v>
                </c:pt>
                <c:pt idx="38">
                  <c:v>135</c:v>
                </c:pt>
                <c:pt idx="39">
                  <c:v>120</c:v>
                </c:pt>
                <c:pt idx="40">
                  <c:v>99</c:v>
                </c:pt>
                <c:pt idx="41">
                  <c:v>77</c:v>
                </c:pt>
                <c:pt idx="42">
                  <c:v>134</c:v>
                </c:pt>
                <c:pt idx="43">
                  <c:v>83</c:v>
                </c:pt>
                <c:pt idx="44">
                  <c:v>85</c:v>
                </c:pt>
                <c:pt idx="45">
                  <c:v>90</c:v>
                </c:pt>
                <c:pt idx="46">
                  <c:v>86</c:v>
                </c:pt>
                <c:pt idx="47">
                  <c:v>75</c:v>
                </c:pt>
                <c:pt idx="48">
                  <c:v>114</c:v>
                </c:pt>
                <c:pt idx="49">
                  <c:v>87</c:v>
                </c:pt>
                <c:pt idx="50">
                  <c:v>112</c:v>
                </c:pt>
                <c:pt idx="51">
                  <c:v>85</c:v>
                </c:pt>
                <c:pt idx="52">
                  <c:v>137</c:v>
                </c:pt>
                <c:pt idx="53">
                  <c:v>128</c:v>
                </c:pt>
                <c:pt idx="54">
                  <c:v>97</c:v>
                </c:pt>
                <c:pt idx="55">
                  <c:v>130</c:v>
                </c:pt>
                <c:pt idx="56">
                  <c:v>66</c:v>
                </c:pt>
              </c:numCache>
            </c:numRef>
          </c:xVal>
          <c:yVal>
            <c:numRef>
              <c:f>'CLEAN DATA'!$M$2:$M$58</c:f>
              <c:numCache>
                <c:formatCode>General</c:formatCode>
                <c:ptCount val="57"/>
                <c:pt idx="0">
                  <c:v>5567.4</c:v>
                </c:pt>
                <c:pt idx="1">
                  <c:v>4326.7</c:v>
                </c:pt>
                <c:pt idx="2">
                  <c:v>3897.8</c:v>
                </c:pt>
                <c:pt idx="3">
                  <c:v>3104.6</c:v>
                </c:pt>
                <c:pt idx="4">
                  <c:v>5205.8</c:v>
                </c:pt>
                <c:pt idx="5">
                  <c:v>4486.7</c:v>
                </c:pt>
                <c:pt idx="6">
                  <c:v>5803.1</c:v>
                </c:pt>
                <c:pt idx="7">
                  <c:v>3211.1</c:v>
                </c:pt>
                <c:pt idx="8">
                  <c:v>3227.7</c:v>
                </c:pt>
                <c:pt idx="9">
                  <c:v>3584.7</c:v>
                </c:pt>
                <c:pt idx="10">
                  <c:v>5128.3999999999996</c:v>
                </c:pt>
                <c:pt idx="11">
                  <c:v>4423.6000000000004</c:v>
                </c:pt>
                <c:pt idx="12">
                  <c:v>3185.4</c:v>
                </c:pt>
                <c:pt idx="13">
                  <c:v>3973.1</c:v>
                </c:pt>
                <c:pt idx="14">
                  <c:v>2432.3000000000002</c:v>
                </c:pt>
                <c:pt idx="15">
                  <c:v>4213.5</c:v>
                </c:pt>
                <c:pt idx="16">
                  <c:v>3161.5</c:v>
                </c:pt>
                <c:pt idx="17">
                  <c:v>5123.6000000000004</c:v>
                </c:pt>
                <c:pt idx="18">
                  <c:v>3123.8</c:v>
                </c:pt>
                <c:pt idx="19">
                  <c:v>4758.3999999999996</c:v>
                </c:pt>
                <c:pt idx="20">
                  <c:v>2877.5</c:v>
                </c:pt>
                <c:pt idx="21">
                  <c:v>5443.6</c:v>
                </c:pt>
                <c:pt idx="22">
                  <c:v>4687.3999999999996</c:v>
                </c:pt>
                <c:pt idx="23">
                  <c:v>4413.8999999999996</c:v>
                </c:pt>
                <c:pt idx="24">
                  <c:v>3112.2</c:v>
                </c:pt>
                <c:pt idx="25">
                  <c:v>3321.5</c:v>
                </c:pt>
                <c:pt idx="26">
                  <c:v>2334.1999999999998</c:v>
                </c:pt>
                <c:pt idx="27">
                  <c:v>4234.5</c:v>
                </c:pt>
                <c:pt idx="28">
                  <c:v>5103.8999999999996</c:v>
                </c:pt>
                <c:pt idx="29">
                  <c:v>4357.7</c:v>
                </c:pt>
                <c:pt idx="30">
                  <c:v>5990.3</c:v>
                </c:pt>
                <c:pt idx="31">
                  <c:v>5453.4</c:v>
                </c:pt>
                <c:pt idx="32">
                  <c:v>2567.9</c:v>
                </c:pt>
                <c:pt idx="33">
                  <c:v>3221.3</c:v>
                </c:pt>
                <c:pt idx="34">
                  <c:v>5740.7</c:v>
                </c:pt>
                <c:pt idx="35">
                  <c:v>4001</c:v>
                </c:pt>
                <c:pt idx="36">
                  <c:v>5112.8999999999996</c:v>
                </c:pt>
                <c:pt idx="37">
                  <c:v>5454.4</c:v>
                </c:pt>
                <c:pt idx="38">
                  <c:v>2578.4</c:v>
                </c:pt>
                <c:pt idx="39">
                  <c:v>3959.9</c:v>
                </c:pt>
                <c:pt idx="40">
                  <c:v>4235.5</c:v>
                </c:pt>
                <c:pt idx="41">
                  <c:v>3778.3</c:v>
                </c:pt>
                <c:pt idx="42">
                  <c:v>2775.4</c:v>
                </c:pt>
                <c:pt idx="43">
                  <c:v>3789.3</c:v>
                </c:pt>
                <c:pt idx="44">
                  <c:v>4358.8</c:v>
                </c:pt>
                <c:pt idx="45">
                  <c:v>3987.4</c:v>
                </c:pt>
                <c:pt idx="46">
                  <c:v>3352.2</c:v>
                </c:pt>
                <c:pt idx="47">
                  <c:v>3251.1</c:v>
                </c:pt>
                <c:pt idx="48">
                  <c:v>5372.6</c:v>
                </c:pt>
                <c:pt idx="49">
                  <c:v>4536.6000000000004</c:v>
                </c:pt>
                <c:pt idx="50">
                  <c:v>5675.7</c:v>
                </c:pt>
                <c:pt idx="51">
                  <c:v>4269.8</c:v>
                </c:pt>
                <c:pt idx="52">
                  <c:v>5214.5</c:v>
                </c:pt>
                <c:pt idx="53">
                  <c:v>5871.8</c:v>
                </c:pt>
                <c:pt idx="54">
                  <c:v>4197.5</c:v>
                </c:pt>
                <c:pt idx="55">
                  <c:v>5643.7</c:v>
                </c:pt>
                <c:pt idx="56">
                  <c:v>3112.2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BD-4C34-A8E6-0F3242C8FD9D}"/>
            </c:ext>
          </c:extLst>
        </c:ser>
        <c:ser>
          <c:idx val="1"/>
          <c:order val="1"/>
          <c:tx>
            <c:v>Predicted Seed Yield per Unit Area (SYUA)</c:v>
          </c:tx>
          <c:spPr>
            <a:ln w="19050">
              <a:noFill/>
            </a:ln>
          </c:spPr>
          <c:xVal>
            <c:numRef>
              <c:f>'CLEAN DATA'!$E$2:$E$58</c:f>
              <c:numCache>
                <c:formatCode>General</c:formatCode>
                <c:ptCount val="57"/>
                <c:pt idx="0">
                  <c:v>111</c:v>
                </c:pt>
                <c:pt idx="1">
                  <c:v>83</c:v>
                </c:pt>
                <c:pt idx="2">
                  <c:v>73</c:v>
                </c:pt>
                <c:pt idx="3">
                  <c:v>68</c:v>
                </c:pt>
                <c:pt idx="4">
                  <c:v>127</c:v>
                </c:pt>
                <c:pt idx="5">
                  <c:v>122</c:v>
                </c:pt>
                <c:pt idx="6">
                  <c:v>102</c:v>
                </c:pt>
                <c:pt idx="7">
                  <c:v>71</c:v>
                </c:pt>
                <c:pt idx="8">
                  <c:v>66</c:v>
                </c:pt>
                <c:pt idx="9">
                  <c:v>65</c:v>
                </c:pt>
                <c:pt idx="10">
                  <c:v>129</c:v>
                </c:pt>
                <c:pt idx="11">
                  <c:v>77</c:v>
                </c:pt>
                <c:pt idx="12">
                  <c:v>88</c:v>
                </c:pt>
                <c:pt idx="13">
                  <c:v>81</c:v>
                </c:pt>
                <c:pt idx="14">
                  <c:v>72</c:v>
                </c:pt>
                <c:pt idx="15">
                  <c:v>123</c:v>
                </c:pt>
                <c:pt idx="16">
                  <c:v>70</c:v>
                </c:pt>
                <c:pt idx="17">
                  <c:v>124</c:v>
                </c:pt>
                <c:pt idx="18">
                  <c:v>85</c:v>
                </c:pt>
                <c:pt idx="19">
                  <c:v>93</c:v>
                </c:pt>
                <c:pt idx="20">
                  <c:v>137</c:v>
                </c:pt>
                <c:pt idx="21">
                  <c:v>100</c:v>
                </c:pt>
                <c:pt idx="22">
                  <c:v>98</c:v>
                </c:pt>
                <c:pt idx="23">
                  <c:v>84</c:v>
                </c:pt>
                <c:pt idx="24">
                  <c:v>69</c:v>
                </c:pt>
                <c:pt idx="25">
                  <c:v>63</c:v>
                </c:pt>
                <c:pt idx="26">
                  <c:v>73</c:v>
                </c:pt>
                <c:pt idx="27">
                  <c:v>83</c:v>
                </c:pt>
                <c:pt idx="28">
                  <c:v>126</c:v>
                </c:pt>
                <c:pt idx="29">
                  <c:v>78</c:v>
                </c:pt>
                <c:pt idx="30">
                  <c:v>138</c:v>
                </c:pt>
                <c:pt idx="31">
                  <c:v>131</c:v>
                </c:pt>
                <c:pt idx="32">
                  <c:v>70</c:v>
                </c:pt>
                <c:pt idx="33">
                  <c:v>65</c:v>
                </c:pt>
                <c:pt idx="34">
                  <c:v>113</c:v>
                </c:pt>
                <c:pt idx="35">
                  <c:v>92</c:v>
                </c:pt>
                <c:pt idx="36">
                  <c:v>136</c:v>
                </c:pt>
                <c:pt idx="37">
                  <c:v>131</c:v>
                </c:pt>
                <c:pt idx="38">
                  <c:v>135</c:v>
                </c:pt>
                <c:pt idx="39">
                  <c:v>120</c:v>
                </c:pt>
                <c:pt idx="40">
                  <c:v>99</c:v>
                </c:pt>
                <c:pt idx="41">
                  <c:v>77</c:v>
                </c:pt>
                <c:pt idx="42">
                  <c:v>134</c:v>
                </c:pt>
                <c:pt idx="43">
                  <c:v>83</c:v>
                </c:pt>
                <c:pt idx="44">
                  <c:v>85</c:v>
                </c:pt>
                <c:pt idx="45">
                  <c:v>90</c:v>
                </c:pt>
                <c:pt idx="46">
                  <c:v>86</c:v>
                </c:pt>
                <c:pt idx="47">
                  <c:v>75</c:v>
                </c:pt>
                <c:pt idx="48">
                  <c:v>114</c:v>
                </c:pt>
                <c:pt idx="49">
                  <c:v>87</c:v>
                </c:pt>
                <c:pt idx="50">
                  <c:v>112</c:v>
                </c:pt>
                <c:pt idx="51">
                  <c:v>85</c:v>
                </c:pt>
                <c:pt idx="52">
                  <c:v>137</c:v>
                </c:pt>
                <c:pt idx="53">
                  <c:v>128</c:v>
                </c:pt>
                <c:pt idx="54">
                  <c:v>97</c:v>
                </c:pt>
                <c:pt idx="55">
                  <c:v>130</c:v>
                </c:pt>
                <c:pt idx="56">
                  <c:v>66</c:v>
                </c:pt>
              </c:numCache>
            </c:numRef>
          </c:xVal>
          <c:yVal>
            <c:numRef>
              <c:f>'5 - Regression &amp; Hypotheses'!$B$25:$B$81</c:f>
              <c:numCache>
                <c:formatCode>General</c:formatCode>
                <c:ptCount val="57"/>
                <c:pt idx="0">
                  <c:v>4528.5688185865838</c:v>
                </c:pt>
                <c:pt idx="1">
                  <c:v>3844.9243582434819</c:v>
                </c:pt>
                <c:pt idx="2">
                  <c:v>3600.7656224066595</c:v>
                </c:pt>
                <c:pt idx="3">
                  <c:v>3478.6862544882488</c:v>
                </c:pt>
                <c:pt idx="4">
                  <c:v>4919.2227959254997</c:v>
                </c:pt>
                <c:pt idx="5">
                  <c:v>4797.143428007088</c:v>
                </c:pt>
                <c:pt idx="6">
                  <c:v>4308.8259563334432</c:v>
                </c:pt>
                <c:pt idx="7">
                  <c:v>3551.933875239295</c:v>
                </c:pt>
                <c:pt idx="8">
                  <c:v>3429.8545073208843</c:v>
                </c:pt>
                <c:pt idx="9">
                  <c:v>3405.4386337372016</c:v>
                </c:pt>
                <c:pt idx="10">
                  <c:v>4968.0545430928632</c:v>
                </c:pt>
                <c:pt idx="11">
                  <c:v>3698.4291167413885</c:v>
                </c:pt>
                <c:pt idx="12">
                  <c:v>3967.0037261618927</c:v>
                </c:pt>
                <c:pt idx="13">
                  <c:v>3796.0926110761175</c:v>
                </c:pt>
                <c:pt idx="14">
                  <c:v>3576.3497488229773</c:v>
                </c:pt>
                <c:pt idx="15">
                  <c:v>4821.5593015907707</c:v>
                </c:pt>
                <c:pt idx="16">
                  <c:v>3527.5180016556128</c:v>
                </c:pt>
                <c:pt idx="17">
                  <c:v>4845.9751751744525</c:v>
                </c:pt>
                <c:pt idx="18">
                  <c:v>3893.756105410846</c:v>
                </c:pt>
                <c:pt idx="19">
                  <c:v>4089.0830940803039</c:v>
                </c:pt>
                <c:pt idx="20">
                  <c:v>5163.3815317623212</c:v>
                </c:pt>
                <c:pt idx="21">
                  <c:v>4259.9942091660796</c:v>
                </c:pt>
                <c:pt idx="22">
                  <c:v>4211.1624619987151</c:v>
                </c:pt>
                <c:pt idx="23">
                  <c:v>3869.3402318271637</c:v>
                </c:pt>
                <c:pt idx="24">
                  <c:v>3503.1021280719306</c:v>
                </c:pt>
                <c:pt idx="25">
                  <c:v>3356.6068865698371</c:v>
                </c:pt>
                <c:pt idx="26">
                  <c:v>3600.7656224066595</c:v>
                </c:pt>
                <c:pt idx="27">
                  <c:v>3844.9243582434819</c:v>
                </c:pt>
                <c:pt idx="28">
                  <c:v>4894.806922341817</c:v>
                </c:pt>
                <c:pt idx="29">
                  <c:v>3722.8449903250703</c:v>
                </c:pt>
                <c:pt idx="30">
                  <c:v>5187.7974053460039</c:v>
                </c:pt>
                <c:pt idx="31">
                  <c:v>5016.8862902602286</c:v>
                </c:pt>
                <c:pt idx="32">
                  <c:v>3527.5180016556128</c:v>
                </c:pt>
                <c:pt idx="33">
                  <c:v>3405.4386337372016</c:v>
                </c:pt>
                <c:pt idx="34">
                  <c:v>4577.4005657539483</c:v>
                </c:pt>
                <c:pt idx="35">
                  <c:v>4064.6672204966217</c:v>
                </c:pt>
                <c:pt idx="36">
                  <c:v>5138.9656581786394</c:v>
                </c:pt>
                <c:pt idx="37">
                  <c:v>5016.8862902602286</c:v>
                </c:pt>
                <c:pt idx="38">
                  <c:v>5114.5497845949576</c:v>
                </c:pt>
                <c:pt idx="39">
                  <c:v>4748.3116808397235</c:v>
                </c:pt>
                <c:pt idx="40">
                  <c:v>4235.5783355823969</c:v>
                </c:pt>
                <c:pt idx="41">
                  <c:v>3698.4291167413885</c:v>
                </c:pt>
                <c:pt idx="42">
                  <c:v>5090.1339110112749</c:v>
                </c:pt>
                <c:pt idx="43">
                  <c:v>3844.9243582434819</c:v>
                </c:pt>
                <c:pt idx="44">
                  <c:v>3893.756105410846</c:v>
                </c:pt>
                <c:pt idx="45">
                  <c:v>4015.8354733292572</c:v>
                </c:pt>
                <c:pt idx="46">
                  <c:v>3918.1719789945282</c:v>
                </c:pt>
                <c:pt idx="47">
                  <c:v>3649.597369574024</c:v>
                </c:pt>
                <c:pt idx="48">
                  <c:v>4601.8164393376301</c:v>
                </c:pt>
                <c:pt idx="49">
                  <c:v>3942.5878525782105</c:v>
                </c:pt>
                <c:pt idx="50">
                  <c:v>4552.9846921702665</c:v>
                </c:pt>
                <c:pt idx="51">
                  <c:v>3893.756105410846</c:v>
                </c:pt>
                <c:pt idx="52">
                  <c:v>5163.3815317623212</c:v>
                </c:pt>
                <c:pt idx="53">
                  <c:v>4943.6386695091815</c:v>
                </c:pt>
                <c:pt idx="54">
                  <c:v>4186.7465884150333</c:v>
                </c:pt>
                <c:pt idx="55">
                  <c:v>4992.4704166765459</c:v>
                </c:pt>
                <c:pt idx="56">
                  <c:v>3429.8545073208843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BD-4C34-A8E6-0F3242C8F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224719"/>
        <c:axId val="656219439"/>
      </c:scatterChart>
      <c:valAx>
        <c:axId val="656224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Biological Weight (BW)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219439"/>
        <c:crosses val="autoZero"/>
        <c:crossBetween val="midCat"/>
      </c:valAx>
      <c:valAx>
        <c:axId val="6562194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Seed Yield per Unit Area (SYUA)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56224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Plant Height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Plant Height</a:t>
          </a:r>
        </a:p>
      </cx:txPr>
    </cx:title>
    <cx:plotArea>
      <cx:plotAreaRegion>
        <cx:series layoutId="boxWhisker" uniqueId="{2AA88509-4306-4FBD-BCB8-6B5E71760674}">
          <cx:tx>
            <cx:txData>
              <cx:f>_xlchart.v1.4</cx:f>
              <cx:v>Plant Height (PH)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Number of Pods (NP)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Number of Pods (NP)</a:t>
          </a:r>
        </a:p>
      </cx:txPr>
    </cx:title>
    <cx:plotArea>
      <cx:plotAreaRegion>
        <cx:series layoutId="boxWhisker" uniqueId="{333E9AA3-7082-4615-AAD9-A19AB7801255}">
          <cx:tx>
            <cx:txData>
              <cx:f>_xlchart.v1.6</cx:f>
              <cx:v>Number of Pods (NP)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Biological Weight (BW)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Biological Weight (BW)</a:t>
          </a:r>
        </a:p>
      </cx:txPr>
    </cx:title>
    <cx:plotArea>
      <cx:plotAreaRegion>
        <cx:series layoutId="boxWhisker" uniqueId="{938A1F5A-D9BE-49CB-9D42-5AF048F9295E}">
          <cx:tx>
            <cx:txData>
              <cx:f>_xlchart.v1.2</cx:f>
              <cx:v>Biological Weight (BW)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Sugars (Su)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Sugars (Su)</a:t>
          </a:r>
        </a:p>
      </cx:txPr>
    </cx:title>
    <cx:plotArea>
      <cx:plotAreaRegion>
        <cx:series layoutId="boxWhisker" uniqueId="{28958507-E9CB-417D-B07A-F792DDFE4BAB}">
          <cx:tx>
            <cx:txData>
              <cx:f>_xlchart.v1.10</cx:f>
              <cx:v>Sugars (Su)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Relative Water Content in Leaves (RWCL)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Relative Water Content in Leaves (RWCL)</a:t>
          </a:r>
        </a:p>
      </cx:txPr>
    </cx:title>
    <cx:plotArea>
      <cx:plotAreaRegion>
        <cx:series layoutId="boxWhisker" uniqueId="{33F68129-8406-4646-8159-B07B125F9DF1}">
          <cx:tx>
            <cx:txData>
              <cx:f>_xlchart.v1.12</cx:f>
              <cx:v>Relative Water Content in Leaves (RWCL)</cx:v>
            </cx:txData>
          </cx:tx>
          <cx:dataLabels pos="r"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ChlorophyllA663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ChlorophyllA663</a:t>
          </a:r>
        </a:p>
      </cx:txPr>
    </cx:title>
    <cx:plotArea>
      <cx:plotAreaRegion>
        <cx:series layoutId="boxWhisker" uniqueId="{1658D443-E453-4F44-BF05-CCA9E9B7188B}">
          <cx:tx>
            <cx:txData>
              <cx:f>_xlchart.v1.8</cx:f>
              <cx:v>ChlorophyllA663</cx:v>
            </cx:txData>
          </cx:tx>
          <cx:dataLabels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Chlorophyllb649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Chlorophyllb649</a:t>
          </a:r>
        </a:p>
      </cx:txPr>
    </cx:title>
    <cx:plotArea>
      <cx:plotAreaRegion>
        <cx:series layoutId="boxWhisker" uniqueId="{7A477226-0E90-489B-84ED-80C4ADF1CB96}">
          <cx:tx>
            <cx:txData>
              <cx:f>_xlchart.v1.14</cx:f>
              <cx:v>Chlorophyllb649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</cx:chartData>
  <cx:chart>
    <cx:title pos="t" align="ctr" overlay="0">
      <cx:tx>
        <cx:txData>
          <cx:v>Protein Percentage (PPE)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Protein Percentage (PPE)</a:t>
          </a:r>
        </a:p>
      </cx:txPr>
    </cx:title>
    <cx:plotArea>
      <cx:plotAreaRegion>
        <cx:series layoutId="boxWhisker" uniqueId="{5CEDFEB7-C378-4C80-B183-230C13DDA330}">
          <cx:tx>
            <cx:txData>
              <cx:f>_xlchart.v1.18</cx:f>
              <cx:v>Protein Percentage (PPE)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</cx:chartData>
  <cx:chart>
    <cx:title pos="t" align="ctr" overlay="0">
      <cx:tx>
        <cx:txData>
          <cx:v>Weight of 300 Seeds (W3S)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Weight of 300 Seeds (W3S)</a:t>
          </a:r>
        </a:p>
      </cx:txPr>
    </cx:title>
    <cx:plotArea>
      <cx:plotAreaRegion>
        <cx:series layoutId="boxWhisker" uniqueId="{B56FFE62-2597-4583-BAFB-474320E735B8}">
          <cx:tx>
            <cx:txData>
              <cx:f>_xlchart.v1.16</cx:f>
              <cx:v>Weight of 300 Seeds (W3S)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</cx:f>
      </cx:numDim>
    </cx:data>
  </cx:chartData>
  <cx:chart>
    <cx:title pos="t" align="ctr" overlay="0">
      <cx:tx>
        <cx:txData>
          <cx:v>Leaf Area Index (LAI)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Leaf Area Index (LAI)</a:t>
          </a:r>
        </a:p>
      </cx:txPr>
    </cx:title>
    <cx:plotArea>
      <cx:plotAreaRegion>
        <cx:series layoutId="boxWhisker" uniqueId="{C59CC75F-EDBF-4C72-A494-29E795882B21}">
          <cx:tx>
            <cx:txData>
              <cx:f>_xlchart.v1.26</cx:f>
              <cx:v>Leaf Area Index (LAI)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</cx:chartData>
  <cx:chart>
    <cx:title pos="t" align="ctr" overlay="0">
      <cx:tx>
        <cx:txData>
          <cx:v>Number of Seeds per Pod (NSP)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Number of Seeds per Pod (NSP)</a:t>
          </a:r>
        </a:p>
      </cx:txPr>
    </cx:title>
    <cx:plotArea>
      <cx:plotAreaRegion>
        <cx:series layoutId="boxWhisker" uniqueId="{FF1B0002-22DA-4344-B313-B1BF9D81DB9F}">
          <cx:tx>
            <cx:txData>
              <cx:f>_xlchart.v1.20</cx:f>
              <cx:v>Number of Seeds per Pod (NSP)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_xlchart.v1.23</cx:f>
      </cx:numDim>
    </cx:data>
  </cx:chartData>
  <cx:chart>
    <cx:title pos="t" align="ctr" overlay="0">
      <cx:tx>
        <cx:txData>
          <cx:v>Seed Yield per Unit Area (SYUA)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Seed Yield per Unit Area (SYUA)</a:t>
          </a:r>
        </a:p>
      </cx:txPr>
    </cx:title>
    <cx:plotArea>
      <cx:plotAreaRegion>
        <cx:series layoutId="boxWhisker" uniqueId="{58F11353-254C-4F2E-B5C3-4D67A2B3CA83}">
          <cx:tx>
            <cx:txData>
              <cx:f>_xlchart.v1.22</cx:f>
              <cx:v>Seed Yield per Unit Area (SYUA)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</cx:chartData>
  <cx:chart>
    <cx:title pos="t" align="ctr" overlay="0">
      <cx:tx>
        <cx:txData>
          <cx:v>Protein Content (PCO)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/>
            </a:rPr>
            <a:t>Protein Content (PCO)</a:t>
          </a:r>
        </a:p>
      </cx:txPr>
    </cx:title>
    <cx:plotArea>
      <cx:plotAreaRegion>
        <cx:series layoutId="boxWhisker" uniqueId="{833526D3-876B-4B40-9823-5A92DA0C3E47}">
          <cx:tx>
            <cx:txData>
              <cx:f>_xlchart.v1.24</cx:f>
              <cx:v>Protein Content (PCO)</cx:v>
            </cx:txData>
          </cx:tx>
          <cx:dataLabels pos="r">
            <cx:visibility seriesName="0" categoryName="0" value="1"/>
          </cx:dataLabels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66675</xdr:colOff>
      <xdr:row>1</xdr:row>
      <xdr:rowOff>85725</xdr:rowOff>
    </xdr:from>
    <xdr:ext cx="7049742" cy="1352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6EBE2FB-A959-4C88-94DA-08C52B71C529}"/>
            </a:ext>
          </a:extLst>
        </xdr:cNvPr>
        <xdr:cNvSpPr txBox="1"/>
      </xdr:nvSpPr>
      <xdr:spPr>
        <a:xfrm>
          <a:off x="10745277" y="276556"/>
          <a:ext cx="7049742" cy="135255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Removed duplicate data from 55451 rows to 108 unique values through "Remove duplicates" in Data tab.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Looked for empty cells through "Find &amp; Select", NONE was found. This was also checked through creating filters for each column.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cs typeface="Arial"/>
              <a:sym typeface="Arial"/>
            </a:rPr>
            <a:t>3. Used</a:t>
          </a:r>
          <a:r>
            <a:rPr lang="en-US" sz="1100" baseline="0">
              <a:solidFill>
                <a:schemeClr val="dk1"/>
              </a:solidFill>
              <a:latin typeface="Arial"/>
              <a:cs typeface="Arial"/>
              <a:sym typeface="Arial"/>
            </a:rPr>
            <a:t> box plots to identify outliters. Lastly, filtered those outliers which made the data smaller from 108 rows to 61 rows of relevant data.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326004</xdr:colOff>
      <xdr:row>1</xdr:row>
      <xdr:rowOff>15902</xdr:rowOff>
    </xdr:from>
    <xdr:to>
      <xdr:col>23</xdr:col>
      <xdr:colOff>326004</xdr:colOff>
      <xdr:row>11</xdr:row>
      <xdr:rowOff>15902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D3131-D3E5-DFF5-C093-205DCEA48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349857</xdr:colOff>
      <xdr:row>28</xdr:row>
      <xdr:rowOff>182880</xdr:rowOff>
    </xdr:from>
    <xdr:to>
      <xdr:col>23</xdr:col>
      <xdr:colOff>349857</xdr:colOff>
      <xdr:row>38</xdr:row>
      <xdr:rowOff>174928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E6F367-FC3A-2DAC-4FA5-F081737A0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246490</xdr:colOff>
      <xdr:row>15</xdr:row>
      <xdr:rowOff>15903</xdr:rowOff>
    </xdr:from>
    <xdr:to>
      <xdr:col>23</xdr:col>
      <xdr:colOff>246490</xdr:colOff>
      <xdr:row>25</xdr:row>
      <xdr:rowOff>15903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D09752-2BFD-719D-9A0F-3D6D76EB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302149</xdr:colOff>
      <xdr:row>43</xdr:row>
      <xdr:rowOff>0</xdr:rowOff>
    </xdr:from>
    <xdr:to>
      <xdr:col>23</xdr:col>
      <xdr:colOff>302149</xdr:colOff>
      <xdr:row>52</xdr:row>
      <xdr:rowOff>182880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5B0BEB-C649-241B-8F65-F7EB82FBB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262393</xdr:colOff>
      <xdr:row>56</xdr:row>
      <xdr:rowOff>182881</xdr:rowOff>
    </xdr:from>
    <xdr:to>
      <xdr:col>23</xdr:col>
      <xdr:colOff>262393</xdr:colOff>
      <xdr:row>69</xdr:row>
      <xdr:rowOff>182880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CF9AFE-0595-ADBC-E821-9B2912CCE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286247</xdr:colOff>
      <xdr:row>72</xdr:row>
      <xdr:rowOff>15903</xdr:rowOff>
    </xdr:from>
    <xdr:to>
      <xdr:col>23</xdr:col>
      <xdr:colOff>286247</xdr:colOff>
      <xdr:row>84</xdr:row>
      <xdr:rowOff>71562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DA37D1-4A0C-D1FF-0547-B58C0AC94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270345</xdr:colOff>
      <xdr:row>2</xdr:row>
      <xdr:rowOff>7952</xdr:rowOff>
    </xdr:from>
    <xdr:to>
      <xdr:col>33</xdr:col>
      <xdr:colOff>270345</xdr:colOff>
      <xdr:row>12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DD26091-7D95-4DE4-AC68-0287FEC0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246490</xdr:colOff>
      <xdr:row>16</xdr:row>
      <xdr:rowOff>0</xdr:rowOff>
    </xdr:from>
    <xdr:to>
      <xdr:col>33</xdr:col>
      <xdr:colOff>246490</xdr:colOff>
      <xdr:row>25</xdr:row>
      <xdr:rowOff>182880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DF280F-2ACD-46F2-A7A4-A97CE3EDC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405517</xdr:colOff>
      <xdr:row>29</xdr:row>
      <xdr:rowOff>23854</xdr:rowOff>
    </xdr:from>
    <xdr:to>
      <xdr:col>33</xdr:col>
      <xdr:colOff>405518</xdr:colOff>
      <xdr:row>39</xdr:row>
      <xdr:rowOff>23854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FA17386-4C6F-9A6E-07B1-194D99C27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389614</xdr:colOff>
      <xdr:row>43</xdr:row>
      <xdr:rowOff>7953</xdr:rowOff>
    </xdr:from>
    <xdr:to>
      <xdr:col>33</xdr:col>
      <xdr:colOff>389614</xdr:colOff>
      <xdr:row>53</xdr:row>
      <xdr:rowOff>7952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B20F9AD-E990-0C98-7575-AD036F7B1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27</xdr:col>
      <xdr:colOff>79514</xdr:colOff>
      <xdr:row>55</xdr:row>
      <xdr:rowOff>190832</xdr:rowOff>
    </xdr:from>
    <xdr:to>
      <xdr:col>33</xdr:col>
      <xdr:colOff>79515</xdr:colOff>
      <xdr:row>67</xdr:row>
      <xdr:rowOff>166978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9D3841D-C2FC-5F08-DBD0-A04CB40BC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357808</xdr:colOff>
      <xdr:row>69</xdr:row>
      <xdr:rowOff>7952</xdr:rowOff>
    </xdr:from>
    <xdr:to>
      <xdr:col>33</xdr:col>
      <xdr:colOff>357808</xdr:colOff>
      <xdr:row>79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F47A83B-C191-4890-5958-A7464AB9D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373712</xdr:colOff>
      <xdr:row>82</xdr:row>
      <xdr:rowOff>15901</xdr:rowOff>
    </xdr:from>
    <xdr:to>
      <xdr:col>33</xdr:col>
      <xdr:colOff>373713</xdr:colOff>
      <xdr:row>92</xdr:row>
      <xdr:rowOff>7949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8419A56-B974-0E32-2122-C13C17E85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539551</xdr:colOff>
      <xdr:row>24</xdr:row>
      <xdr:rowOff>68155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049EDD-52D4-49C6-BB8C-AD23BB8ED7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6821081" cy="4648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528194</xdr:colOff>
      <xdr:row>0</xdr:row>
      <xdr:rowOff>1</xdr:rowOff>
    </xdr:from>
    <xdr:to>
      <xdr:col>21</xdr:col>
      <xdr:colOff>431642</xdr:colOff>
      <xdr:row>23</xdr:row>
      <xdr:rowOff>164845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0BFAFD2-34C9-478B-A662-A004840DDD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9724" y="1"/>
              <a:ext cx="6813132" cy="4553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24</xdr:row>
      <xdr:rowOff>164844</xdr:rowOff>
    </xdr:from>
    <xdr:to>
      <xdr:col>10</xdr:col>
      <xdr:colOff>539551</xdr:colOff>
      <xdr:row>48</xdr:row>
      <xdr:rowOff>87654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54F8A78-ACDD-4A65-A924-58ACAFED62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819266"/>
              <a:ext cx="6842414" cy="45772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521568</xdr:colOff>
      <xdr:row>24</xdr:row>
      <xdr:rowOff>20825</xdr:rowOff>
    </xdr:from>
    <xdr:to>
      <xdr:col>21</xdr:col>
      <xdr:colOff>425016</xdr:colOff>
      <xdr:row>48</xdr:row>
      <xdr:rowOff>88979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CA9A33AA-5DEF-4D8E-8148-9B5A5EF18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03098" y="4600776"/>
              <a:ext cx="6813132" cy="4648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48</xdr:row>
      <xdr:rowOff>105638</xdr:rowOff>
    </xdr:from>
    <xdr:to>
      <xdr:col>10</xdr:col>
      <xdr:colOff>539551</xdr:colOff>
      <xdr:row>72</xdr:row>
      <xdr:rowOff>177646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33FDA08-ED94-4E58-99C2-A738E6327B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265541"/>
              <a:ext cx="6821081" cy="4651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537470</xdr:colOff>
      <xdr:row>48</xdr:row>
      <xdr:rowOff>95604</xdr:rowOff>
    </xdr:from>
    <xdr:to>
      <xdr:col>21</xdr:col>
      <xdr:colOff>440918</xdr:colOff>
      <xdr:row>72</xdr:row>
      <xdr:rowOff>167612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E32AF4B-CE68-4773-BC6D-3AF227E7B6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9000" y="9255507"/>
              <a:ext cx="6813132" cy="46519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72</xdr:row>
      <xdr:rowOff>154158</xdr:rowOff>
    </xdr:from>
    <xdr:to>
      <xdr:col>10</xdr:col>
      <xdr:colOff>539551</xdr:colOff>
      <xdr:row>96</xdr:row>
      <xdr:rowOff>93712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BC04DE1-5F56-445E-AE33-A350FC2397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894012"/>
              <a:ext cx="6821081" cy="4519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566059</xdr:colOff>
      <xdr:row>72</xdr:row>
      <xdr:rowOff>184394</xdr:rowOff>
    </xdr:from>
    <xdr:to>
      <xdr:col>21</xdr:col>
      <xdr:colOff>469507</xdr:colOff>
      <xdr:row>97</xdr:row>
      <xdr:rowOff>59448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997A2C0-3291-4ED1-9708-95AA0D516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47589" y="13924248"/>
              <a:ext cx="6813132" cy="4645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61843</xdr:colOff>
      <xdr:row>97</xdr:row>
      <xdr:rowOff>64494</xdr:rowOff>
    </xdr:from>
    <xdr:to>
      <xdr:col>10</xdr:col>
      <xdr:colOff>601394</xdr:colOff>
      <xdr:row>121</xdr:row>
      <xdr:rowOff>125076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5EA6E23-0B06-4640-988F-3082C8B0EE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43" y="18575131"/>
              <a:ext cx="6821081" cy="46405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21457</xdr:colOff>
      <xdr:row>97</xdr:row>
      <xdr:rowOff>135047</xdr:rowOff>
    </xdr:from>
    <xdr:to>
      <xdr:col>21</xdr:col>
      <xdr:colOff>561009</xdr:colOff>
      <xdr:row>122</xdr:row>
      <xdr:rowOff>10100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D6DAAAD3-2424-4096-908C-D91445B23C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1140" y="18645684"/>
              <a:ext cx="6821083" cy="4645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187236</xdr:colOff>
      <xdr:row>122</xdr:row>
      <xdr:rowOff>146719</xdr:rowOff>
    </xdr:from>
    <xdr:to>
      <xdr:col>22</xdr:col>
      <xdr:colOff>90683</xdr:colOff>
      <xdr:row>147</xdr:row>
      <xdr:rowOff>21772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8D618685-937F-4FBF-9FB7-9704D034F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6919" y="23428138"/>
              <a:ext cx="6813131" cy="46458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68155</xdr:colOff>
      <xdr:row>122</xdr:row>
      <xdr:rowOff>31301</xdr:rowOff>
    </xdr:from>
    <xdr:to>
      <xdr:col>10</xdr:col>
      <xdr:colOff>607706</xdr:colOff>
      <xdr:row>158</xdr:row>
      <xdr:rowOff>164843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8F14C4D9-B752-47A3-8A11-865C7DADF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155" y="23691280"/>
              <a:ext cx="6842414" cy="7115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43250</xdr:colOff>
      <xdr:row>159</xdr:row>
      <xdr:rowOff>28781</xdr:rowOff>
    </xdr:from>
    <xdr:to>
      <xdr:col>10</xdr:col>
      <xdr:colOff>582801</xdr:colOff>
      <xdr:row>183</xdr:row>
      <xdr:rowOff>96504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0AA3523D-6749-4543-A46E-9F981A2F6C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50" y="30864327"/>
              <a:ext cx="6842414" cy="47221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0</xdr:row>
      <xdr:rowOff>143123</xdr:rowOff>
    </xdr:from>
    <xdr:to>
      <xdr:col>10</xdr:col>
      <xdr:colOff>282272</xdr:colOff>
      <xdr:row>15</xdr:row>
      <xdr:rowOff>23853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3D014E-9E32-491F-9816-BCB9024A91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254442</xdr:colOff>
      <xdr:row>16</xdr:row>
      <xdr:rowOff>95415</xdr:rowOff>
    </xdr:from>
    <xdr:to>
      <xdr:col>10</xdr:col>
      <xdr:colOff>302150</xdr:colOff>
      <xdr:row>30</xdr:row>
      <xdr:rowOff>166977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B595B2-BF01-4A7E-A746-DD73DB3E1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278295</xdr:colOff>
      <xdr:row>33</xdr:row>
      <xdr:rowOff>103367</xdr:rowOff>
    </xdr:from>
    <xdr:to>
      <xdr:col>10</xdr:col>
      <xdr:colOff>326003</xdr:colOff>
      <xdr:row>47</xdr:row>
      <xdr:rowOff>174929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2EEBE3-387F-40D0-98B2-DDBE6E140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246490</xdr:colOff>
      <xdr:row>50</xdr:row>
      <xdr:rowOff>7952</xdr:rowOff>
    </xdr:from>
    <xdr:to>
      <xdr:col>10</xdr:col>
      <xdr:colOff>294198</xdr:colOff>
      <xdr:row>64</xdr:row>
      <xdr:rowOff>79514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1CA182-E2F6-4C47-BFC2-003F98EAF6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270344</xdr:colOff>
      <xdr:row>66</xdr:row>
      <xdr:rowOff>103367</xdr:rowOff>
    </xdr:from>
    <xdr:to>
      <xdr:col>10</xdr:col>
      <xdr:colOff>318052</xdr:colOff>
      <xdr:row>80</xdr:row>
      <xdr:rowOff>174929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528B26-91EE-4E99-B72E-50C190219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230588</xdr:colOff>
      <xdr:row>83</xdr:row>
      <xdr:rowOff>39757</xdr:rowOff>
    </xdr:from>
    <xdr:to>
      <xdr:col>10</xdr:col>
      <xdr:colOff>278296</xdr:colOff>
      <xdr:row>97</xdr:row>
      <xdr:rowOff>111318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A40388-06B8-4272-8AA4-1C32C4A57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210711</xdr:colOff>
      <xdr:row>99</xdr:row>
      <xdr:rowOff>64107</xdr:rowOff>
    </xdr:from>
    <xdr:to>
      <xdr:col>10</xdr:col>
      <xdr:colOff>310103</xdr:colOff>
      <xdr:row>113</xdr:row>
      <xdr:rowOff>131195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047687-4F05-4408-A375-37D56102C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10933</xdr:colOff>
      <xdr:row>1</xdr:row>
      <xdr:rowOff>16399</xdr:rowOff>
    </xdr:from>
    <xdr:to>
      <xdr:col>21</xdr:col>
      <xdr:colOff>110325</xdr:colOff>
      <xdr:row>15</xdr:row>
      <xdr:rowOff>87962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BC1706-DF01-42F8-806C-4F0BDCB4A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19878</xdr:colOff>
      <xdr:row>17</xdr:row>
      <xdr:rowOff>127719</xdr:rowOff>
    </xdr:from>
    <xdr:to>
      <xdr:col>21</xdr:col>
      <xdr:colOff>119270</xdr:colOff>
      <xdr:row>32</xdr:row>
      <xdr:rowOff>12922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68130C-78CF-4F19-A0E5-DDF0CEAB9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-1</xdr:colOff>
      <xdr:row>33</xdr:row>
      <xdr:rowOff>149087</xdr:rowOff>
    </xdr:from>
    <xdr:to>
      <xdr:col>21</xdr:col>
      <xdr:colOff>99391</xdr:colOff>
      <xdr:row>48</xdr:row>
      <xdr:rowOff>34291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B534725-B74F-4BFA-BF2C-80EFF3FF2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-1</xdr:colOff>
      <xdr:row>50</xdr:row>
      <xdr:rowOff>2</xdr:rowOff>
    </xdr:from>
    <xdr:to>
      <xdr:col>21</xdr:col>
      <xdr:colOff>99391</xdr:colOff>
      <xdr:row>64</xdr:row>
      <xdr:rowOff>71564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1D0FD92-F2A0-464A-9AA2-5731DBAC8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12423</xdr:colOff>
      <xdr:row>65</xdr:row>
      <xdr:rowOff>149087</xdr:rowOff>
    </xdr:from>
    <xdr:to>
      <xdr:col>21</xdr:col>
      <xdr:colOff>111815</xdr:colOff>
      <xdr:row>80</xdr:row>
      <xdr:rowOff>34292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F3E7C5-2D97-4BD0-8268-8B57ED9DA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82</xdr:row>
      <xdr:rowOff>0</xdr:rowOff>
    </xdr:from>
    <xdr:to>
      <xdr:col>21</xdr:col>
      <xdr:colOff>99392</xdr:colOff>
      <xdr:row>96</xdr:row>
      <xdr:rowOff>71563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EA8CA14-9946-4FD7-9B91-EF4B859DC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119270</xdr:colOff>
      <xdr:row>14</xdr:row>
      <xdr:rowOff>71562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1FE43-9F2E-445E-8B74-789D58779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119270</xdr:colOff>
      <xdr:row>30</xdr:row>
      <xdr:rowOff>71562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F4AD3-3D3D-447E-B3EE-5659B3797B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7</xdr:col>
      <xdr:colOff>119270</xdr:colOff>
      <xdr:row>46</xdr:row>
      <xdr:rowOff>71562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197EFE-61F1-4214-9440-CCD8EA20A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7</xdr:col>
      <xdr:colOff>119270</xdr:colOff>
      <xdr:row>62</xdr:row>
      <xdr:rowOff>71562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40D401-75F4-42A3-A448-12FEF0F3F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7</xdr:col>
      <xdr:colOff>119270</xdr:colOff>
      <xdr:row>79</xdr:row>
      <xdr:rowOff>71562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992C1EE-CF1B-40A5-92D3-95773259C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7</xdr:col>
      <xdr:colOff>119270</xdr:colOff>
      <xdr:row>96</xdr:row>
      <xdr:rowOff>71562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1DFFC5-7557-438F-8682-13D8F07D3E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628154</xdr:colOff>
      <xdr:row>0</xdr:row>
      <xdr:rowOff>0</xdr:rowOff>
    </xdr:from>
    <xdr:to>
      <xdr:col>15</xdr:col>
      <xdr:colOff>111319</xdr:colOff>
      <xdr:row>14</xdr:row>
      <xdr:rowOff>71562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E3F101-FC12-4E49-A454-68219D1B8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15</xdr:row>
      <xdr:rowOff>166977</xdr:rowOff>
    </xdr:from>
    <xdr:to>
      <xdr:col>15</xdr:col>
      <xdr:colOff>119270</xdr:colOff>
      <xdr:row>30</xdr:row>
      <xdr:rowOff>47708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3F10D86-0663-4CB1-A981-8784C89E2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15</xdr:col>
      <xdr:colOff>119270</xdr:colOff>
      <xdr:row>46</xdr:row>
      <xdr:rowOff>71562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BE150F1-C3FF-4508-8767-FDE91B687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48</xdr:row>
      <xdr:rowOff>0</xdr:rowOff>
    </xdr:from>
    <xdr:to>
      <xdr:col>15</xdr:col>
      <xdr:colOff>119270</xdr:colOff>
      <xdr:row>62</xdr:row>
      <xdr:rowOff>71562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17B91AD-1167-4D19-8F13-8C4C359BC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0</xdr:colOff>
      <xdr:row>64</xdr:row>
      <xdr:rowOff>0</xdr:rowOff>
    </xdr:from>
    <xdr:to>
      <xdr:col>15</xdr:col>
      <xdr:colOff>119270</xdr:colOff>
      <xdr:row>78</xdr:row>
      <xdr:rowOff>71561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0B86485-30FF-4D7C-86D8-BDF9C5B169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0</xdr:colOff>
      <xdr:row>80</xdr:row>
      <xdr:rowOff>0</xdr:rowOff>
    </xdr:from>
    <xdr:to>
      <xdr:col>15</xdr:col>
      <xdr:colOff>119270</xdr:colOff>
      <xdr:row>94</xdr:row>
      <xdr:rowOff>71561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F982FB-1B29-4226-BEDC-1B86228EB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302150</xdr:colOff>
      <xdr:row>1</xdr:row>
      <xdr:rowOff>0</xdr:rowOff>
    </xdr:from>
    <xdr:to>
      <xdr:col>19</xdr:col>
      <xdr:colOff>119270</xdr:colOff>
      <xdr:row>19</xdr:row>
      <xdr:rowOff>71561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8F6E2-764A-E5DF-4119-87906BFB7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12</xdr:col>
      <xdr:colOff>230588</xdr:colOff>
      <xdr:row>20</xdr:row>
      <xdr:rowOff>166977</xdr:rowOff>
    </xdr:from>
    <xdr:ext cx="5038725" cy="140970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FCCA128D-FB87-42D7-B5B2-544A4BF27B26}"/>
            </a:ext>
          </a:extLst>
        </xdr:cNvPr>
        <xdr:cNvSpPr txBox="1"/>
      </xdr:nvSpPr>
      <xdr:spPr>
        <a:xfrm>
          <a:off x="8181892" y="4031311"/>
          <a:ext cx="5038725" cy="14097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Interpretation:</a:t>
          </a:r>
          <a:endParaRPr sz="1400"/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The slope means that for 1 increase in the Biological Weight (BW) of a soybean, the Seed Yield per Unit Area (SYUA) increases by 24.42. Meanwhile, the intercept means that when the BW is 0, which is an unlikely scenario, the SYUA is 1818.41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206735</xdr:colOff>
      <xdr:row>30</xdr:row>
      <xdr:rowOff>0</xdr:rowOff>
    </xdr:from>
    <xdr:ext cx="5038725" cy="14097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31F7A42-8B47-45CD-BD15-51B3C9C6C4FE}"/>
            </a:ext>
          </a:extLst>
        </xdr:cNvPr>
        <xdr:cNvSpPr txBox="1"/>
      </xdr:nvSpPr>
      <xdr:spPr>
        <a:xfrm>
          <a:off x="8158039" y="5780598"/>
          <a:ext cx="5038725" cy="14097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Interpretation: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In terms of correlation, r = 0.59017 means that the Biological Weight and Seed Yield per Unit Area have a strong positive correlation.</a:t>
          </a: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With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the R^2 of 0.3483, it means that about 34.83% of the variability in SYUA data is explainable by the BW</a:t>
          </a:r>
          <a:r>
            <a:rPr lang="en-US" sz="1100" baseline="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and the remaining 65.17% is explainable by other factors.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9"/>
  <sheetViews>
    <sheetView workbookViewId="0">
      <selection activeCell="R36" sqref="R36"/>
    </sheetView>
  </sheetViews>
  <sheetFormatPr defaultColWidth="12.6640625" defaultRowHeight="15.05" customHeight="1" x14ac:dyDescent="0.3"/>
  <cols>
    <col min="1" max="17" width="8.6640625" customWidth="1"/>
    <col min="18" max="18" width="33.77734375" customWidth="1"/>
    <col min="19" max="19" width="8.6640625" customWidth="1"/>
    <col min="20" max="20" width="9" customWidth="1"/>
    <col min="21" max="21" width="7.109375" customWidth="1"/>
    <col min="22" max="22" width="9" customWidth="1"/>
    <col min="23" max="23" width="9.109375" customWidth="1"/>
    <col min="24" max="24" width="12" customWidth="1"/>
    <col min="25" max="25" width="17" customWidth="1"/>
    <col min="26" max="26" width="8.66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26" x14ac:dyDescent="0.3">
      <c r="A2" s="1" t="s">
        <v>15</v>
      </c>
      <c r="B2" s="1" t="s">
        <v>16</v>
      </c>
      <c r="C2" s="1">
        <v>50.5</v>
      </c>
      <c r="D2" s="1">
        <v>130.30000000000001</v>
      </c>
      <c r="E2" s="1">
        <v>111</v>
      </c>
      <c r="F2" s="1">
        <v>0.433</v>
      </c>
      <c r="G2" s="1">
        <v>0.73199999999999998</v>
      </c>
      <c r="H2" s="1">
        <v>1.4</v>
      </c>
      <c r="I2" s="1">
        <v>3.1</v>
      </c>
      <c r="J2" s="1">
        <v>33.200000000000003</v>
      </c>
      <c r="K2" s="1">
        <v>33.6</v>
      </c>
      <c r="L2" s="1">
        <v>0.08</v>
      </c>
      <c r="M2" s="1">
        <v>5567.4</v>
      </c>
      <c r="N2" s="1">
        <v>1.86</v>
      </c>
      <c r="O2" s="1">
        <v>0.82</v>
      </c>
    </row>
    <row r="3" spans="1:26" hidden="1" x14ac:dyDescent="0.3">
      <c r="A3" s="1" t="s">
        <v>17</v>
      </c>
      <c r="B3" s="1" t="s">
        <v>16</v>
      </c>
      <c r="C3" s="1">
        <v>44.5</v>
      </c>
      <c r="D3" s="1">
        <v>132</v>
      </c>
      <c r="E3" s="1">
        <v>80</v>
      </c>
      <c r="F3" s="1">
        <v>0.33400000000000002</v>
      </c>
      <c r="G3" s="1">
        <v>0.67400000000000004</v>
      </c>
      <c r="H3" s="1">
        <v>7.1</v>
      </c>
      <c r="I3" s="1">
        <v>2.2000000000000002</v>
      </c>
      <c r="J3" s="1">
        <v>38.5</v>
      </c>
      <c r="K3" s="1">
        <v>34.4</v>
      </c>
      <c r="L3" s="1">
        <v>0.09</v>
      </c>
      <c r="M3" s="1">
        <v>2245.5</v>
      </c>
      <c r="N3" s="1">
        <v>1.87</v>
      </c>
      <c r="O3" s="1">
        <v>0.13</v>
      </c>
    </row>
    <row r="4" spans="1:26" x14ac:dyDescent="0.3">
      <c r="A4" s="1" t="s">
        <v>19</v>
      </c>
      <c r="B4" s="1" t="s">
        <v>16</v>
      </c>
      <c r="C4" s="1">
        <v>52.2</v>
      </c>
      <c r="D4" s="1">
        <v>150</v>
      </c>
      <c r="E4" s="1">
        <v>83</v>
      </c>
      <c r="F4" s="1">
        <v>0.49</v>
      </c>
      <c r="G4" s="1">
        <v>0.67700000000000005</v>
      </c>
      <c r="H4" s="1">
        <v>1.8</v>
      </c>
      <c r="I4" s="1">
        <v>1.3</v>
      </c>
      <c r="J4" s="1">
        <v>33.6</v>
      </c>
      <c r="K4" s="1">
        <v>35.200000000000003</v>
      </c>
      <c r="L4" s="1">
        <v>7.0000000000000007E-2</v>
      </c>
      <c r="M4" s="1">
        <v>4326.7</v>
      </c>
      <c r="N4" s="1">
        <v>2.04</v>
      </c>
      <c r="O4" s="1">
        <v>0.15</v>
      </c>
    </row>
    <row r="5" spans="1:26" hidden="1" x14ac:dyDescent="0.3">
      <c r="A5" s="1" t="s">
        <v>20</v>
      </c>
      <c r="B5" s="1" t="s">
        <v>16</v>
      </c>
      <c r="C5" s="1">
        <v>50.5</v>
      </c>
      <c r="D5" s="1">
        <v>140.80000000000001</v>
      </c>
      <c r="E5" s="1">
        <v>66</v>
      </c>
      <c r="F5" s="1">
        <v>0.16300000000000001</v>
      </c>
      <c r="G5" s="1">
        <v>0.745</v>
      </c>
      <c r="H5" s="1">
        <v>1.1000000000000001</v>
      </c>
      <c r="I5" s="1">
        <v>3</v>
      </c>
      <c r="J5" s="1">
        <v>33.5</v>
      </c>
      <c r="K5" s="1">
        <v>52.3</v>
      </c>
      <c r="L5" s="1">
        <v>0.09</v>
      </c>
      <c r="M5" s="1">
        <v>6214.5</v>
      </c>
      <c r="N5" s="1">
        <v>2.2000000000000002</v>
      </c>
      <c r="O5" s="1">
        <v>0.14000000000000001</v>
      </c>
    </row>
    <row r="6" spans="1:26" x14ac:dyDescent="0.3">
      <c r="A6" s="1" t="s">
        <v>21</v>
      </c>
      <c r="B6" s="1" t="s">
        <v>22</v>
      </c>
      <c r="C6" s="1">
        <v>49.2</v>
      </c>
      <c r="D6" s="1">
        <v>175.6</v>
      </c>
      <c r="E6" s="1">
        <v>73</v>
      </c>
      <c r="F6" s="1">
        <v>0.79500000000000004</v>
      </c>
      <c r="G6" s="1">
        <v>0.72499999999999998</v>
      </c>
      <c r="H6" s="1">
        <v>7.5</v>
      </c>
      <c r="I6" s="1">
        <v>2.1</v>
      </c>
      <c r="J6" s="1">
        <v>39.6</v>
      </c>
      <c r="K6" s="1">
        <v>31.2</v>
      </c>
      <c r="L6" s="1">
        <v>0.1</v>
      </c>
      <c r="M6" s="1">
        <v>3897.8</v>
      </c>
      <c r="N6" s="1">
        <v>1.88</v>
      </c>
      <c r="O6" s="1">
        <v>0.6</v>
      </c>
    </row>
    <row r="7" spans="1:26" hidden="1" x14ac:dyDescent="0.3">
      <c r="A7" s="1" t="s">
        <v>23</v>
      </c>
      <c r="B7" s="1" t="s">
        <v>22</v>
      </c>
      <c r="C7" s="1">
        <v>52</v>
      </c>
      <c r="D7" s="1">
        <v>136</v>
      </c>
      <c r="E7" s="1">
        <v>62</v>
      </c>
      <c r="F7" s="1">
        <v>0.26500000000000001</v>
      </c>
      <c r="G7" s="1">
        <v>0.63300000000000001</v>
      </c>
      <c r="H7" s="1">
        <v>4.3</v>
      </c>
      <c r="I7" s="1">
        <v>1.2</v>
      </c>
      <c r="J7" s="1">
        <v>33.5</v>
      </c>
      <c r="K7" s="1">
        <v>44.4</v>
      </c>
      <c r="L7" s="1">
        <v>7.0000000000000007E-2</v>
      </c>
      <c r="M7" s="1">
        <v>3985.2</v>
      </c>
      <c r="N7" s="1">
        <v>2.06</v>
      </c>
      <c r="O7" s="1">
        <v>0.3</v>
      </c>
    </row>
    <row r="8" spans="1:26" hidden="1" x14ac:dyDescent="0.3">
      <c r="A8" s="1" t="s">
        <v>24</v>
      </c>
      <c r="B8" s="1" t="s">
        <v>22</v>
      </c>
      <c r="C8" s="1">
        <v>44.2</v>
      </c>
      <c r="D8" s="1">
        <v>147.30000000000001</v>
      </c>
      <c r="E8" s="1">
        <v>115</v>
      </c>
      <c r="F8" s="1">
        <v>0.46300000000000002</v>
      </c>
      <c r="G8" s="1">
        <v>0.76200000000000001</v>
      </c>
      <c r="H8" s="1">
        <v>1.1000000000000001</v>
      </c>
      <c r="I8" s="1">
        <v>2.1</v>
      </c>
      <c r="J8" s="1">
        <v>37.299999999999997</v>
      </c>
      <c r="K8" s="1">
        <v>31.9</v>
      </c>
      <c r="L8" s="1">
        <v>0.1</v>
      </c>
      <c r="M8" s="1">
        <v>3029.3</v>
      </c>
      <c r="N8" s="1">
        <v>1.6</v>
      </c>
      <c r="O8" s="1">
        <v>0.48</v>
      </c>
    </row>
    <row r="9" spans="1:26" hidden="1" x14ac:dyDescent="0.3">
      <c r="A9" s="1" t="s">
        <v>25</v>
      </c>
      <c r="B9" s="1" t="s">
        <v>16</v>
      </c>
      <c r="C9" s="1">
        <v>52</v>
      </c>
      <c r="D9" s="1">
        <v>158.30000000000001</v>
      </c>
      <c r="E9" s="1">
        <v>205</v>
      </c>
      <c r="F9" s="1">
        <v>0.53100000000000003</v>
      </c>
      <c r="G9" s="1">
        <v>0.67700000000000005</v>
      </c>
      <c r="H9" s="1">
        <v>1.2</v>
      </c>
      <c r="I9" s="1">
        <v>3.2</v>
      </c>
      <c r="J9" s="1">
        <v>33.299999999999997</v>
      </c>
      <c r="K9" s="1">
        <v>32.6</v>
      </c>
      <c r="L9" s="1">
        <v>7.0000000000000007E-2</v>
      </c>
      <c r="M9" s="1">
        <v>6645.7</v>
      </c>
      <c r="N9" s="1">
        <v>1.87</v>
      </c>
      <c r="O9" s="1">
        <v>0.4</v>
      </c>
    </row>
    <row r="10" spans="1:26" x14ac:dyDescent="0.3">
      <c r="A10" s="1" t="s">
        <v>26</v>
      </c>
      <c r="B10" s="1" t="s">
        <v>22</v>
      </c>
      <c r="C10" s="1">
        <v>49.3</v>
      </c>
      <c r="D10" s="1">
        <v>155</v>
      </c>
      <c r="E10" s="1">
        <v>68</v>
      </c>
      <c r="F10" s="1">
        <v>0.29799999999999999</v>
      </c>
      <c r="G10" s="1">
        <v>0.67200000000000004</v>
      </c>
      <c r="H10" s="1">
        <v>7.2</v>
      </c>
      <c r="I10" s="1">
        <v>1.2</v>
      </c>
      <c r="J10" s="1">
        <v>31.1</v>
      </c>
      <c r="K10" s="1">
        <v>38.1</v>
      </c>
      <c r="L10" s="1">
        <v>0.06</v>
      </c>
      <c r="M10" s="1">
        <v>3104.6</v>
      </c>
      <c r="N10" s="1">
        <v>1.8</v>
      </c>
      <c r="O10" s="1">
        <v>0.18</v>
      </c>
    </row>
    <row r="11" spans="1:26" hidden="1" x14ac:dyDescent="0.3">
      <c r="A11" s="1" t="s">
        <v>27</v>
      </c>
      <c r="B11" s="1" t="s">
        <v>16</v>
      </c>
      <c r="C11" s="1">
        <v>45.8</v>
      </c>
      <c r="D11" s="1">
        <v>151</v>
      </c>
      <c r="E11" s="1">
        <v>87</v>
      </c>
      <c r="F11" s="1">
        <v>0.32300000000000001</v>
      </c>
      <c r="G11" s="1">
        <v>0.71699999999999997</v>
      </c>
      <c r="H11" s="1">
        <v>1.9</v>
      </c>
      <c r="I11" s="1">
        <v>2.5</v>
      </c>
      <c r="J11" s="1">
        <v>37.6</v>
      </c>
      <c r="K11" s="1">
        <v>37.5</v>
      </c>
      <c r="L11" s="1">
        <v>0.03</v>
      </c>
      <c r="M11" s="1">
        <v>4256.8</v>
      </c>
      <c r="N11" s="1">
        <v>2.2000000000000002</v>
      </c>
      <c r="O11" s="1">
        <v>0.73</v>
      </c>
    </row>
    <row r="12" spans="1:26" hidden="1" x14ac:dyDescent="0.3">
      <c r="A12" s="1" t="s">
        <v>28</v>
      </c>
      <c r="B12" s="1" t="s">
        <v>29</v>
      </c>
      <c r="C12" s="1">
        <v>50</v>
      </c>
      <c r="D12" s="1">
        <v>137.69999999999999</v>
      </c>
      <c r="E12" s="1">
        <v>225</v>
      </c>
      <c r="F12" s="1">
        <v>0.51200000000000001</v>
      </c>
      <c r="G12" s="1">
        <v>0.73899999999999999</v>
      </c>
      <c r="H12" s="1">
        <v>1.9</v>
      </c>
      <c r="I12" s="1">
        <v>3.1</v>
      </c>
      <c r="J12" s="1">
        <v>39.1</v>
      </c>
      <c r="K12" s="1">
        <v>36.299999999999997</v>
      </c>
      <c r="L12" s="1">
        <v>0.08</v>
      </c>
      <c r="M12" s="1">
        <v>4998.7</v>
      </c>
      <c r="N12" s="1">
        <v>1.84</v>
      </c>
      <c r="O12" s="1">
        <v>0.42</v>
      </c>
    </row>
    <row r="13" spans="1:26" hidden="1" x14ac:dyDescent="0.3">
      <c r="A13" s="1" t="s">
        <v>30</v>
      </c>
      <c r="B13" s="1" t="s">
        <v>16</v>
      </c>
      <c r="C13" s="1">
        <v>42.3</v>
      </c>
      <c r="D13" s="1">
        <v>165</v>
      </c>
      <c r="E13" s="1">
        <v>121</v>
      </c>
      <c r="F13" s="1">
        <v>0.59699999999999998</v>
      </c>
      <c r="G13" s="1">
        <v>0.45600000000000002</v>
      </c>
      <c r="H13" s="1">
        <v>1.1000000000000001</v>
      </c>
      <c r="I13" s="1">
        <v>3.2</v>
      </c>
      <c r="J13" s="1">
        <v>37.200000000000003</v>
      </c>
      <c r="K13" s="1">
        <v>33.299999999999997</v>
      </c>
      <c r="L13" s="1">
        <v>7.0000000000000007E-2</v>
      </c>
      <c r="M13" s="1">
        <v>4265.7</v>
      </c>
      <c r="N13" s="1">
        <v>1.88</v>
      </c>
      <c r="O13" s="1">
        <v>0.5</v>
      </c>
    </row>
    <row r="14" spans="1:26" x14ac:dyDescent="0.3">
      <c r="A14" s="1" t="s">
        <v>31</v>
      </c>
      <c r="B14" s="1" t="s">
        <v>29</v>
      </c>
      <c r="C14" s="1">
        <v>50.2</v>
      </c>
      <c r="D14" s="1">
        <v>129</v>
      </c>
      <c r="E14" s="1">
        <v>127</v>
      </c>
      <c r="F14" s="1">
        <v>0.317</v>
      </c>
      <c r="G14" s="1">
        <v>0.629</v>
      </c>
      <c r="H14" s="1">
        <v>10</v>
      </c>
      <c r="I14" s="1">
        <v>2.6</v>
      </c>
      <c r="J14" s="1">
        <v>38.1</v>
      </c>
      <c r="K14" s="1">
        <v>34.5</v>
      </c>
      <c r="L14" s="1">
        <v>0.05</v>
      </c>
      <c r="M14" s="1">
        <v>5205.8</v>
      </c>
      <c r="N14" s="1">
        <v>2.6</v>
      </c>
      <c r="O14" s="1">
        <v>0.32</v>
      </c>
    </row>
    <row r="15" spans="1:26" x14ac:dyDescent="0.3">
      <c r="A15" s="1" t="s">
        <v>33</v>
      </c>
      <c r="B15" s="1" t="s">
        <v>29</v>
      </c>
      <c r="C15" s="1">
        <v>52.2</v>
      </c>
      <c r="D15" s="1">
        <v>147</v>
      </c>
      <c r="E15" s="1">
        <v>122</v>
      </c>
      <c r="F15" s="1">
        <v>0.55300000000000005</v>
      </c>
      <c r="G15" s="1">
        <v>0.622</v>
      </c>
      <c r="H15" s="1">
        <v>2.2000000000000002</v>
      </c>
      <c r="I15" s="1">
        <v>3</v>
      </c>
      <c r="J15" s="1">
        <v>33.799999999999997</v>
      </c>
      <c r="K15" s="1">
        <v>32.200000000000003</v>
      </c>
      <c r="L15" s="1">
        <v>0.06</v>
      </c>
      <c r="M15" s="1">
        <v>4486.7</v>
      </c>
      <c r="N15" s="1">
        <v>1.9</v>
      </c>
      <c r="O15" s="1">
        <v>0.7</v>
      </c>
      <c r="Z15" s="3"/>
    </row>
    <row r="16" spans="1:26" x14ac:dyDescent="0.3">
      <c r="A16" s="1" t="s">
        <v>41</v>
      </c>
      <c r="B16" s="1" t="s">
        <v>22</v>
      </c>
      <c r="C16" s="1">
        <v>54.3</v>
      </c>
      <c r="D16" s="1">
        <v>159</v>
      </c>
      <c r="E16" s="1">
        <v>102</v>
      </c>
      <c r="F16" s="1">
        <v>0.61299999999999999</v>
      </c>
      <c r="G16" s="1">
        <v>0.71</v>
      </c>
      <c r="H16" s="1">
        <v>9.1999999999999993</v>
      </c>
      <c r="I16" s="1">
        <v>2.1</v>
      </c>
      <c r="J16" s="1">
        <v>39.1</v>
      </c>
      <c r="K16" s="1">
        <v>29.9</v>
      </c>
      <c r="L16" s="1">
        <v>0.06</v>
      </c>
      <c r="M16" s="1">
        <v>5803.1</v>
      </c>
      <c r="N16" s="1">
        <v>2.6</v>
      </c>
      <c r="O16" s="1">
        <v>0.3</v>
      </c>
    </row>
    <row r="17" spans="1:15" hidden="1" x14ac:dyDescent="0.3">
      <c r="A17" s="1" t="s">
        <v>30</v>
      </c>
      <c r="B17" s="1" t="s">
        <v>22</v>
      </c>
      <c r="C17" s="1">
        <v>40.4</v>
      </c>
      <c r="D17" s="1">
        <v>166.7</v>
      </c>
      <c r="E17" s="1">
        <v>120</v>
      </c>
      <c r="F17" s="1">
        <v>0.629</v>
      </c>
      <c r="G17" s="1">
        <v>0.46700000000000003</v>
      </c>
      <c r="H17" s="1">
        <v>1</v>
      </c>
      <c r="I17" s="1">
        <v>3.6</v>
      </c>
      <c r="J17" s="1">
        <v>31.7</v>
      </c>
      <c r="K17" s="1">
        <v>37.299999999999997</v>
      </c>
      <c r="L17" s="1">
        <v>0.1</v>
      </c>
      <c r="M17" s="1">
        <v>4300.7</v>
      </c>
      <c r="N17" s="1">
        <v>1.6</v>
      </c>
      <c r="O17" s="1">
        <v>0.6</v>
      </c>
    </row>
    <row r="18" spans="1:15" x14ac:dyDescent="0.3">
      <c r="A18" s="1" t="s">
        <v>42</v>
      </c>
      <c r="B18" s="1" t="s">
        <v>29</v>
      </c>
      <c r="C18" s="1">
        <v>50.3</v>
      </c>
      <c r="D18" s="1">
        <v>141.19999999999999</v>
      </c>
      <c r="E18" s="1">
        <v>71</v>
      </c>
      <c r="F18" s="1">
        <v>0.84</v>
      </c>
      <c r="G18" s="1">
        <v>0.63900000000000001</v>
      </c>
      <c r="H18" s="1">
        <v>1.1000000000000001</v>
      </c>
      <c r="I18" s="1">
        <v>3</v>
      </c>
      <c r="J18" s="1">
        <v>35.299999999999997</v>
      </c>
      <c r="K18" s="1">
        <v>32.1</v>
      </c>
      <c r="L18" s="1">
        <v>7.0000000000000007E-2</v>
      </c>
      <c r="M18" s="1">
        <v>3211.1</v>
      </c>
      <c r="N18" s="1">
        <v>2.2000000000000002</v>
      </c>
      <c r="O18" s="1">
        <v>0.4</v>
      </c>
    </row>
    <row r="19" spans="1:15" hidden="1" x14ac:dyDescent="0.3">
      <c r="A19" s="1" t="s">
        <v>20</v>
      </c>
      <c r="B19" s="1" t="s">
        <v>22</v>
      </c>
      <c r="C19" s="1">
        <v>51</v>
      </c>
      <c r="D19" s="1">
        <v>142</v>
      </c>
      <c r="E19" s="1">
        <v>68</v>
      </c>
      <c r="F19" s="1">
        <v>0.16500000000000001</v>
      </c>
      <c r="G19" s="1">
        <v>0.753</v>
      </c>
      <c r="H19" s="1">
        <v>1.4</v>
      </c>
      <c r="I19" s="1">
        <v>3.3</v>
      </c>
      <c r="J19" s="1">
        <v>38.1</v>
      </c>
      <c r="K19" s="1">
        <v>53.9</v>
      </c>
      <c r="L19" s="1">
        <v>0.09</v>
      </c>
      <c r="M19" s="1">
        <v>6381.2</v>
      </c>
      <c r="N19" s="1">
        <v>2.0499999999999998</v>
      </c>
      <c r="O19" s="1">
        <v>0.12</v>
      </c>
    </row>
    <row r="20" spans="1:15" x14ac:dyDescent="0.3">
      <c r="A20" s="1" t="s">
        <v>43</v>
      </c>
      <c r="B20" s="1" t="s">
        <v>16</v>
      </c>
      <c r="C20" s="1">
        <v>51.3</v>
      </c>
      <c r="D20" s="1">
        <v>136.19999999999999</v>
      </c>
      <c r="E20" s="1">
        <v>66</v>
      </c>
      <c r="F20" s="1">
        <v>0.88200000000000001</v>
      </c>
      <c r="G20" s="1">
        <v>0.66200000000000003</v>
      </c>
      <c r="H20" s="1">
        <v>1.7</v>
      </c>
      <c r="I20" s="1">
        <v>3</v>
      </c>
      <c r="J20" s="1">
        <v>34.4</v>
      </c>
      <c r="K20" s="1">
        <v>35.299999999999997</v>
      </c>
      <c r="L20" s="1">
        <v>0.04</v>
      </c>
      <c r="M20" s="1">
        <v>3227.7</v>
      </c>
      <c r="N20" s="1">
        <v>2.08</v>
      </c>
      <c r="O20" s="1">
        <v>0.6</v>
      </c>
    </row>
    <row r="21" spans="1:15" x14ac:dyDescent="0.3">
      <c r="A21" s="1" t="s">
        <v>43</v>
      </c>
      <c r="B21" s="1" t="s">
        <v>22</v>
      </c>
      <c r="C21" s="1">
        <v>50</v>
      </c>
      <c r="D21" s="1">
        <v>137.30000000000001</v>
      </c>
      <c r="E21" s="1">
        <v>65</v>
      </c>
      <c r="F21" s="1">
        <v>0.86099999999999999</v>
      </c>
      <c r="G21" s="1">
        <v>0.67400000000000004</v>
      </c>
      <c r="H21" s="1">
        <v>1.8</v>
      </c>
      <c r="I21" s="1">
        <v>3.2</v>
      </c>
      <c r="J21" s="1">
        <v>33</v>
      </c>
      <c r="K21" s="1">
        <v>37.1</v>
      </c>
      <c r="L21" s="1">
        <v>0.03</v>
      </c>
      <c r="M21" s="1">
        <v>3584.7</v>
      </c>
      <c r="N21" s="1">
        <v>2.2000000000000002</v>
      </c>
      <c r="O21" s="1">
        <v>0.48</v>
      </c>
    </row>
    <row r="22" spans="1:15" x14ac:dyDescent="0.3">
      <c r="A22" s="1" t="s">
        <v>44</v>
      </c>
      <c r="B22" s="1" t="s">
        <v>29</v>
      </c>
      <c r="C22" s="1">
        <v>52.6</v>
      </c>
      <c r="D22" s="1">
        <v>158</v>
      </c>
      <c r="E22" s="1">
        <v>129</v>
      </c>
      <c r="F22" s="1">
        <v>0.16200000000000001</v>
      </c>
      <c r="G22" s="1">
        <v>0.69199999999999995</v>
      </c>
      <c r="H22" s="1">
        <v>1.7</v>
      </c>
      <c r="I22" s="1">
        <v>3.1</v>
      </c>
      <c r="J22" s="1">
        <v>37.6</v>
      </c>
      <c r="K22" s="1">
        <v>37.700000000000003</v>
      </c>
      <c r="L22" s="1">
        <v>0.09</v>
      </c>
      <c r="M22" s="1">
        <v>5128.3999999999996</v>
      </c>
      <c r="N22" s="1">
        <v>2.6</v>
      </c>
      <c r="O22" s="1">
        <v>0.48</v>
      </c>
    </row>
    <row r="23" spans="1:15" x14ac:dyDescent="0.3">
      <c r="A23" s="1" t="s">
        <v>45</v>
      </c>
      <c r="B23" s="1" t="s">
        <v>29</v>
      </c>
      <c r="C23" s="1">
        <v>50.3</v>
      </c>
      <c r="D23" s="1">
        <v>150</v>
      </c>
      <c r="E23" s="1">
        <v>77</v>
      </c>
      <c r="F23" s="1">
        <v>0.44500000000000001</v>
      </c>
      <c r="G23" s="1">
        <v>0.626</v>
      </c>
      <c r="H23" s="1">
        <v>1.5</v>
      </c>
      <c r="I23" s="1">
        <v>2.2000000000000002</v>
      </c>
      <c r="J23" s="1">
        <v>32.9</v>
      </c>
      <c r="K23" s="1">
        <v>35.4</v>
      </c>
      <c r="L23" s="1">
        <v>0.09</v>
      </c>
      <c r="M23" s="1">
        <v>4423.6000000000004</v>
      </c>
      <c r="N23" s="1">
        <v>1.7</v>
      </c>
      <c r="O23" s="1">
        <v>0.84</v>
      </c>
    </row>
    <row r="24" spans="1:15" x14ac:dyDescent="0.3">
      <c r="A24" s="1" t="s">
        <v>46</v>
      </c>
      <c r="B24" s="1" t="s">
        <v>22</v>
      </c>
      <c r="C24" s="1">
        <v>55.3</v>
      </c>
      <c r="D24" s="1">
        <v>145</v>
      </c>
      <c r="E24" s="1">
        <v>88</v>
      </c>
      <c r="F24" s="1">
        <v>0.16500000000000001</v>
      </c>
      <c r="G24" s="1">
        <v>0.60099999999999998</v>
      </c>
      <c r="H24" s="1">
        <v>8.5</v>
      </c>
      <c r="I24" s="1">
        <v>2.2999999999999998</v>
      </c>
      <c r="J24" s="1">
        <v>36.200000000000003</v>
      </c>
      <c r="K24" s="1">
        <v>33.200000000000003</v>
      </c>
      <c r="L24" s="1">
        <v>0.1</v>
      </c>
      <c r="M24" s="1">
        <v>3185.4</v>
      </c>
      <c r="N24" s="1">
        <v>1.82</v>
      </c>
      <c r="O24" s="1">
        <v>0.32</v>
      </c>
    </row>
    <row r="25" spans="1:15" x14ac:dyDescent="0.3">
      <c r="A25" s="1" t="s">
        <v>47</v>
      </c>
      <c r="B25" s="1" t="s">
        <v>22</v>
      </c>
      <c r="C25" s="1">
        <v>49.2</v>
      </c>
      <c r="D25" s="1">
        <v>162.6</v>
      </c>
      <c r="E25" s="1">
        <v>81</v>
      </c>
      <c r="F25" s="1">
        <v>0.64500000000000002</v>
      </c>
      <c r="G25" s="1">
        <v>0.71</v>
      </c>
      <c r="H25" s="1">
        <v>6.7</v>
      </c>
      <c r="I25" s="1">
        <v>1.2</v>
      </c>
      <c r="J25" s="1">
        <v>37</v>
      </c>
      <c r="K25" s="1">
        <v>33.9</v>
      </c>
      <c r="L25" s="1">
        <v>0.02</v>
      </c>
      <c r="M25" s="1">
        <v>3973.1</v>
      </c>
      <c r="N25" s="1">
        <v>1.87</v>
      </c>
      <c r="O25" s="1">
        <v>0.36</v>
      </c>
    </row>
    <row r="26" spans="1:15" x14ac:dyDescent="0.3">
      <c r="A26" s="1" t="s">
        <v>48</v>
      </c>
      <c r="B26" s="1" t="s">
        <v>29</v>
      </c>
      <c r="C26" s="1">
        <v>51.3</v>
      </c>
      <c r="D26" s="1">
        <v>130</v>
      </c>
      <c r="E26" s="1">
        <v>72</v>
      </c>
      <c r="F26" s="1">
        <v>0.998</v>
      </c>
      <c r="G26" s="1">
        <v>0.65400000000000003</v>
      </c>
      <c r="H26" s="1">
        <v>1.7</v>
      </c>
      <c r="I26" s="1">
        <v>3.2</v>
      </c>
      <c r="J26" s="1">
        <v>31.7</v>
      </c>
      <c r="K26" s="1">
        <v>31.1</v>
      </c>
      <c r="L26" s="1">
        <v>0.09</v>
      </c>
      <c r="M26" s="1">
        <v>2432.3000000000002</v>
      </c>
      <c r="N26" s="1">
        <v>1.8</v>
      </c>
      <c r="O26" s="1">
        <v>0.83</v>
      </c>
    </row>
    <row r="27" spans="1:15" hidden="1" x14ac:dyDescent="0.3">
      <c r="A27" s="1" t="s">
        <v>49</v>
      </c>
      <c r="B27" s="1" t="s">
        <v>22</v>
      </c>
      <c r="C27" s="1">
        <v>49</v>
      </c>
      <c r="D27" s="1">
        <v>163.5</v>
      </c>
      <c r="E27" s="1">
        <v>222</v>
      </c>
      <c r="F27" s="1">
        <v>0.33100000000000002</v>
      </c>
      <c r="G27" s="1">
        <v>0.625</v>
      </c>
      <c r="H27" s="1">
        <v>4.8</v>
      </c>
      <c r="I27" s="1">
        <v>1.5</v>
      </c>
      <c r="J27" s="1">
        <v>37.6</v>
      </c>
      <c r="K27" s="1">
        <v>33.4</v>
      </c>
      <c r="L27" s="1">
        <v>0.06</v>
      </c>
      <c r="M27" s="1">
        <v>4123.1000000000004</v>
      </c>
      <c r="N27" s="1">
        <v>1.84</v>
      </c>
      <c r="O27" s="1">
        <v>0.48</v>
      </c>
    </row>
    <row r="28" spans="1:15" hidden="1" x14ac:dyDescent="0.3">
      <c r="A28" s="1" t="s">
        <v>28</v>
      </c>
      <c r="B28" s="1" t="s">
        <v>22</v>
      </c>
      <c r="C28" s="1">
        <v>49.2</v>
      </c>
      <c r="D28" s="1">
        <v>138</v>
      </c>
      <c r="E28" s="1">
        <v>226</v>
      </c>
      <c r="F28" s="1">
        <v>0.57899999999999996</v>
      </c>
      <c r="G28" s="1">
        <v>0.71899999999999997</v>
      </c>
      <c r="H28" s="1">
        <v>1.8</v>
      </c>
      <c r="I28" s="1">
        <v>3.2</v>
      </c>
      <c r="J28" s="1">
        <v>36.9</v>
      </c>
      <c r="K28" s="1">
        <v>37.700000000000003</v>
      </c>
      <c r="L28" s="1">
        <v>0.06</v>
      </c>
      <c r="M28" s="1">
        <v>5187.7</v>
      </c>
      <c r="N28" s="1">
        <v>2.2000000000000002</v>
      </c>
      <c r="O28" s="1">
        <v>0.6</v>
      </c>
    </row>
    <row r="29" spans="1:15" x14ac:dyDescent="0.3">
      <c r="A29" s="1" t="s">
        <v>33</v>
      </c>
      <c r="B29" s="1" t="s">
        <v>16</v>
      </c>
      <c r="C29" s="1">
        <v>51.2</v>
      </c>
      <c r="D29" s="1">
        <v>149</v>
      </c>
      <c r="E29" s="1">
        <v>123</v>
      </c>
      <c r="F29" s="1">
        <v>0.502</v>
      </c>
      <c r="G29" s="1">
        <v>0.66300000000000003</v>
      </c>
      <c r="H29" s="1">
        <v>2.1</v>
      </c>
      <c r="I29" s="1">
        <v>3.1</v>
      </c>
      <c r="J29" s="1">
        <v>39.1</v>
      </c>
      <c r="K29" s="1">
        <v>33.6</v>
      </c>
      <c r="L29" s="1">
        <v>0.09</v>
      </c>
      <c r="M29" s="1">
        <v>4213.5</v>
      </c>
      <c r="N29" s="1">
        <v>1.7</v>
      </c>
      <c r="O29" s="1">
        <v>0.6</v>
      </c>
    </row>
    <row r="30" spans="1:15" hidden="1" x14ac:dyDescent="0.3">
      <c r="A30" s="1" t="s">
        <v>50</v>
      </c>
      <c r="B30" s="1" t="s">
        <v>29</v>
      </c>
      <c r="C30" s="1">
        <v>45.7</v>
      </c>
      <c r="D30" s="1">
        <v>160</v>
      </c>
      <c r="E30" s="1">
        <v>94</v>
      </c>
      <c r="F30" s="1">
        <v>0.53300000000000003</v>
      </c>
      <c r="G30" s="1">
        <v>0.66700000000000004</v>
      </c>
      <c r="H30" s="1">
        <v>5.8</v>
      </c>
      <c r="I30" s="1">
        <v>1.2</v>
      </c>
      <c r="J30" s="1">
        <v>38.4</v>
      </c>
      <c r="K30" s="1">
        <v>44.3</v>
      </c>
      <c r="L30" s="1">
        <v>0.08</v>
      </c>
      <c r="M30" s="1">
        <v>4396.8</v>
      </c>
      <c r="N30" s="1">
        <v>1.85</v>
      </c>
      <c r="O30" s="1">
        <v>1.1599999999999999</v>
      </c>
    </row>
    <row r="31" spans="1:15" x14ac:dyDescent="0.3">
      <c r="A31" s="1" t="s">
        <v>42</v>
      </c>
      <c r="B31" s="1" t="s">
        <v>22</v>
      </c>
      <c r="C31" s="1">
        <v>52.7</v>
      </c>
      <c r="D31" s="1">
        <v>142</v>
      </c>
      <c r="E31" s="1">
        <v>70</v>
      </c>
      <c r="F31" s="1">
        <v>0.182</v>
      </c>
      <c r="G31" s="1">
        <v>0.61799999999999999</v>
      </c>
      <c r="H31" s="1">
        <v>1.2</v>
      </c>
      <c r="I31" s="1">
        <v>3.2</v>
      </c>
      <c r="J31" s="1">
        <v>37.700000000000003</v>
      </c>
      <c r="K31" s="1">
        <v>31.8</v>
      </c>
      <c r="L31" s="1">
        <v>0.05</v>
      </c>
      <c r="M31" s="1">
        <v>3161.5</v>
      </c>
      <c r="N31" s="1">
        <v>2.08</v>
      </c>
      <c r="O31" s="1">
        <v>0.6</v>
      </c>
    </row>
    <row r="32" spans="1:15" x14ac:dyDescent="0.3">
      <c r="A32" s="1" t="s">
        <v>31</v>
      </c>
      <c r="B32" s="1" t="s">
        <v>16</v>
      </c>
      <c r="C32" s="1">
        <v>50</v>
      </c>
      <c r="D32" s="1">
        <v>127</v>
      </c>
      <c r="E32" s="1">
        <v>124</v>
      </c>
      <c r="F32" s="1">
        <v>0.32200000000000001</v>
      </c>
      <c r="G32" s="1">
        <v>0.61199999999999999</v>
      </c>
      <c r="H32" s="1">
        <v>9.9</v>
      </c>
      <c r="I32" s="1">
        <v>2.1</v>
      </c>
      <c r="J32" s="1">
        <v>35.4</v>
      </c>
      <c r="K32" s="1">
        <v>33.299999999999997</v>
      </c>
      <c r="L32" s="1">
        <v>0.04</v>
      </c>
      <c r="M32" s="1">
        <v>5123.6000000000004</v>
      </c>
      <c r="N32" s="1">
        <v>1.86</v>
      </c>
      <c r="O32" s="1">
        <v>0.4</v>
      </c>
    </row>
    <row r="33" spans="1:15" hidden="1" x14ac:dyDescent="0.3">
      <c r="A33" s="1" t="s">
        <v>47</v>
      </c>
      <c r="B33" s="1" t="s">
        <v>29</v>
      </c>
      <c r="C33" s="1">
        <v>52.1</v>
      </c>
      <c r="D33" s="1">
        <v>80</v>
      </c>
      <c r="E33" s="1">
        <v>115</v>
      </c>
      <c r="F33" s="1">
        <v>0.64400000000000002</v>
      </c>
      <c r="G33" s="1">
        <v>0.72899999999999998</v>
      </c>
      <c r="H33" s="1">
        <v>6</v>
      </c>
      <c r="I33" s="1">
        <v>1.5</v>
      </c>
      <c r="J33" s="1">
        <v>37.4</v>
      </c>
      <c r="K33" s="1">
        <v>35.4</v>
      </c>
      <c r="L33" s="1">
        <v>0.05</v>
      </c>
      <c r="M33" s="1">
        <v>3653.6</v>
      </c>
      <c r="N33" s="1">
        <v>1.64</v>
      </c>
      <c r="O33" s="1">
        <v>0.3</v>
      </c>
    </row>
    <row r="34" spans="1:15" x14ac:dyDescent="0.3">
      <c r="A34" s="1" t="s">
        <v>46</v>
      </c>
      <c r="B34" s="1" t="s">
        <v>29</v>
      </c>
      <c r="C34" s="1">
        <v>55.3</v>
      </c>
      <c r="D34" s="1">
        <v>146</v>
      </c>
      <c r="E34" s="1">
        <v>85</v>
      </c>
      <c r="F34" s="1">
        <v>0.16200000000000001</v>
      </c>
      <c r="G34" s="1">
        <v>0.59799999999999998</v>
      </c>
      <c r="H34" s="1">
        <v>8</v>
      </c>
      <c r="I34" s="1">
        <v>2.2000000000000002</v>
      </c>
      <c r="J34" s="1">
        <v>33.200000000000003</v>
      </c>
      <c r="K34" s="1">
        <v>35.200000000000003</v>
      </c>
      <c r="L34" s="1">
        <v>0.09</v>
      </c>
      <c r="M34" s="1">
        <v>3123.8</v>
      </c>
      <c r="N34" s="1">
        <v>2.1</v>
      </c>
      <c r="O34" s="1">
        <v>0.33</v>
      </c>
    </row>
    <row r="35" spans="1:15" x14ac:dyDescent="0.3">
      <c r="A35" s="1" t="s">
        <v>52</v>
      </c>
      <c r="B35" s="1" t="s">
        <v>29</v>
      </c>
      <c r="C35" s="1">
        <v>47.3</v>
      </c>
      <c r="D35" s="1">
        <v>127</v>
      </c>
      <c r="E35" s="1">
        <v>93</v>
      </c>
      <c r="F35" s="1">
        <v>0.65600000000000003</v>
      </c>
      <c r="G35" s="1">
        <v>0.69799999999999995</v>
      </c>
      <c r="H35" s="1">
        <v>1.2</v>
      </c>
      <c r="I35" s="1">
        <v>1.1000000000000001</v>
      </c>
      <c r="J35" s="1">
        <v>37.200000000000003</v>
      </c>
      <c r="K35" s="1">
        <v>34.5</v>
      </c>
      <c r="L35" s="1">
        <v>0.06</v>
      </c>
      <c r="M35" s="1">
        <v>4758.3999999999996</v>
      </c>
      <c r="N35" s="1">
        <v>1.86</v>
      </c>
      <c r="O35" s="1">
        <v>0.16</v>
      </c>
    </row>
    <row r="36" spans="1:15" x14ac:dyDescent="0.3">
      <c r="A36" s="1" t="s">
        <v>53</v>
      </c>
      <c r="B36" s="1" t="s">
        <v>22</v>
      </c>
      <c r="C36" s="1">
        <v>49</v>
      </c>
      <c r="D36" s="1">
        <v>132.69999999999999</v>
      </c>
      <c r="E36" s="1">
        <v>137</v>
      </c>
      <c r="F36" s="1">
        <v>0.77200000000000002</v>
      </c>
      <c r="G36" s="1">
        <v>0.72</v>
      </c>
      <c r="H36" s="1">
        <v>7.4</v>
      </c>
      <c r="I36" s="1">
        <v>1.2</v>
      </c>
      <c r="J36" s="1">
        <v>39.9</v>
      </c>
      <c r="K36" s="1">
        <v>34.299999999999997</v>
      </c>
      <c r="L36" s="1">
        <v>0.09</v>
      </c>
      <c r="M36" s="1">
        <v>2877.5</v>
      </c>
      <c r="N36" s="1">
        <v>1.86</v>
      </c>
      <c r="O36" s="1">
        <v>0.6</v>
      </c>
    </row>
    <row r="37" spans="1:15" x14ac:dyDescent="0.3">
      <c r="A37" s="1" t="s">
        <v>41</v>
      </c>
      <c r="B37" s="1" t="s">
        <v>29</v>
      </c>
      <c r="C37" s="1">
        <v>53.4</v>
      </c>
      <c r="D37" s="1">
        <v>161</v>
      </c>
      <c r="E37" s="1">
        <v>100</v>
      </c>
      <c r="F37" s="1">
        <v>0.61</v>
      </c>
      <c r="G37" s="1">
        <v>0.72099999999999997</v>
      </c>
      <c r="H37" s="1">
        <v>8.9</v>
      </c>
      <c r="I37" s="1">
        <v>2.2000000000000002</v>
      </c>
      <c r="J37" s="1">
        <v>31.9</v>
      </c>
      <c r="K37" s="1">
        <v>28.9</v>
      </c>
      <c r="L37" s="1">
        <v>0.09</v>
      </c>
      <c r="M37" s="1">
        <v>5443.6</v>
      </c>
      <c r="N37" s="1">
        <v>2.6</v>
      </c>
      <c r="O37" s="1">
        <v>0.4</v>
      </c>
    </row>
    <row r="38" spans="1:15" x14ac:dyDescent="0.3">
      <c r="A38" s="1" t="s">
        <v>54</v>
      </c>
      <c r="B38" s="1" t="s">
        <v>29</v>
      </c>
      <c r="C38" s="1">
        <v>50.3</v>
      </c>
      <c r="D38" s="1">
        <v>157.69999999999999</v>
      </c>
      <c r="E38" s="1">
        <v>98</v>
      </c>
      <c r="F38" s="1">
        <v>0.25</v>
      </c>
      <c r="G38" s="1">
        <v>0.76500000000000001</v>
      </c>
      <c r="H38" s="1">
        <v>3.8</v>
      </c>
      <c r="I38" s="1">
        <v>2.2000000000000002</v>
      </c>
      <c r="J38" s="1">
        <v>38.700000000000003</v>
      </c>
      <c r="K38" s="1">
        <v>29.2</v>
      </c>
      <c r="L38" s="1">
        <v>0.04</v>
      </c>
      <c r="M38" s="1">
        <v>4687.3999999999996</v>
      </c>
      <c r="N38" s="1">
        <v>1.9</v>
      </c>
      <c r="O38" s="1">
        <v>0.42</v>
      </c>
    </row>
    <row r="39" spans="1:15" x14ac:dyDescent="0.3">
      <c r="A39" s="1" t="s">
        <v>27</v>
      </c>
      <c r="B39" s="1" t="s">
        <v>22</v>
      </c>
      <c r="C39" s="1">
        <v>47.4</v>
      </c>
      <c r="D39" s="1">
        <v>150.5</v>
      </c>
      <c r="E39" s="1">
        <v>84</v>
      </c>
      <c r="F39" s="1">
        <v>0.33100000000000002</v>
      </c>
      <c r="G39" s="1">
        <v>0.73899999999999999</v>
      </c>
      <c r="H39" s="1">
        <v>1</v>
      </c>
      <c r="I39" s="1">
        <v>2.9</v>
      </c>
      <c r="J39" s="1">
        <v>32.1</v>
      </c>
      <c r="K39" s="1">
        <v>39.700000000000003</v>
      </c>
      <c r="L39" s="1">
        <v>0.03</v>
      </c>
      <c r="M39" s="1">
        <v>4413.8999999999996</v>
      </c>
      <c r="N39" s="1">
        <v>2.0499999999999998</v>
      </c>
      <c r="O39" s="1">
        <v>0.78</v>
      </c>
    </row>
    <row r="40" spans="1:15" x14ac:dyDescent="0.3">
      <c r="A40" s="1" t="s">
        <v>42</v>
      </c>
      <c r="B40" s="1" t="s">
        <v>16</v>
      </c>
      <c r="C40" s="1">
        <v>50.6</v>
      </c>
      <c r="D40" s="1">
        <v>141</v>
      </c>
      <c r="E40" s="1">
        <v>69</v>
      </c>
      <c r="F40" s="1">
        <v>0.18</v>
      </c>
      <c r="G40" s="1">
        <v>0.623</v>
      </c>
      <c r="H40" s="1">
        <v>1.3</v>
      </c>
      <c r="I40" s="1">
        <v>3.3</v>
      </c>
      <c r="J40" s="1">
        <v>37.299999999999997</v>
      </c>
      <c r="K40" s="1">
        <v>30.6</v>
      </c>
      <c r="L40" s="1">
        <v>0.06</v>
      </c>
      <c r="M40" s="1">
        <v>3112.2</v>
      </c>
      <c r="N40" s="1">
        <v>2.1</v>
      </c>
      <c r="O40" s="1">
        <v>0.5</v>
      </c>
    </row>
    <row r="41" spans="1:15" x14ac:dyDescent="0.3">
      <c r="A41" s="1" t="s">
        <v>43</v>
      </c>
      <c r="B41" s="1" t="s">
        <v>29</v>
      </c>
      <c r="C41" s="1">
        <v>52</v>
      </c>
      <c r="D41" s="1">
        <v>135.9</v>
      </c>
      <c r="E41" s="1">
        <v>63</v>
      </c>
      <c r="F41" s="1">
        <v>0.83199999999999996</v>
      </c>
      <c r="G41" s="1">
        <v>0.61099999999999999</v>
      </c>
      <c r="H41" s="1">
        <v>1.4</v>
      </c>
      <c r="I41" s="1">
        <v>3.1</v>
      </c>
      <c r="J41" s="1">
        <v>33.6</v>
      </c>
      <c r="K41" s="1">
        <v>37.6</v>
      </c>
      <c r="L41" s="1">
        <v>0.05</v>
      </c>
      <c r="M41" s="1">
        <v>3321.5</v>
      </c>
      <c r="N41" s="1">
        <v>1.9</v>
      </c>
      <c r="O41" s="1">
        <v>0.6</v>
      </c>
    </row>
    <row r="42" spans="1:15" hidden="1" x14ac:dyDescent="0.3">
      <c r="A42" s="1" t="s">
        <v>55</v>
      </c>
      <c r="B42" s="1" t="s">
        <v>22</v>
      </c>
      <c r="C42" s="1">
        <v>49.7</v>
      </c>
      <c r="D42" s="1">
        <v>128.6</v>
      </c>
      <c r="E42" s="1">
        <v>134</v>
      </c>
      <c r="F42" s="1">
        <v>0.19800000000000001</v>
      </c>
      <c r="G42" s="1">
        <v>0.82499999999999996</v>
      </c>
      <c r="H42" s="1">
        <v>1</v>
      </c>
      <c r="I42" s="1">
        <v>3.6</v>
      </c>
      <c r="J42" s="1">
        <v>38.299999999999997</v>
      </c>
      <c r="K42" s="1">
        <v>44.7</v>
      </c>
      <c r="L42" s="1">
        <v>0.04</v>
      </c>
      <c r="M42" s="1">
        <v>5355.9</v>
      </c>
      <c r="N42" s="1">
        <v>2.2000000000000002</v>
      </c>
      <c r="O42" s="1">
        <v>0.3</v>
      </c>
    </row>
    <row r="43" spans="1:15" hidden="1" x14ac:dyDescent="0.3">
      <c r="A43" s="1" t="s">
        <v>28</v>
      </c>
      <c r="B43" s="1" t="s">
        <v>16</v>
      </c>
      <c r="C43" s="1">
        <v>52.4</v>
      </c>
      <c r="D43" s="1">
        <v>136</v>
      </c>
      <c r="E43" s="1">
        <v>223</v>
      </c>
      <c r="F43" s="1">
        <v>0.52300000000000002</v>
      </c>
      <c r="G43" s="1">
        <v>0.71299999999999997</v>
      </c>
      <c r="H43" s="1">
        <v>1.9</v>
      </c>
      <c r="I43" s="1">
        <v>3.3</v>
      </c>
      <c r="J43" s="1">
        <v>38.200000000000003</v>
      </c>
      <c r="K43" s="1">
        <v>38.1</v>
      </c>
      <c r="L43" s="1">
        <v>7.0000000000000007E-2</v>
      </c>
      <c r="M43" s="1">
        <v>5216.2</v>
      </c>
      <c r="N43" s="1">
        <v>2.06</v>
      </c>
      <c r="O43" s="1">
        <v>0.5</v>
      </c>
    </row>
    <row r="44" spans="1:15" hidden="1" x14ac:dyDescent="0.3">
      <c r="A44" s="1" t="s">
        <v>23</v>
      </c>
      <c r="B44" s="1" t="s">
        <v>16</v>
      </c>
      <c r="C44" s="1">
        <v>51.4</v>
      </c>
      <c r="D44" s="1">
        <v>134</v>
      </c>
      <c r="E44" s="1">
        <v>60</v>
      </c>
      <c r="F44" s="1">
        <v>0.23499999999999999</v>
      </c>
      <c r="G44" s="1">
        <v>0.61499999999999999</v>
      </c>
      <c r="H44" s="1">
        <v>4</v>
      </c>
      <c r="I44" s="1">
        <v>1.9</v>
      </c>
      <c r="J44" s="1">
        <v>38.1</v>
      </c>
      <c r="K44" s="1">
        <v>42.2</v>
      </c>
      <c r="L44" s="1">
        <v>0.05</v>
      </c>
      <c r="M44" s="1">
        <v>4013.4</v>
      </c>
      <c r="N44" s="1">
        <v>2.2000000000000002</v>
      </c>
      <c r="O44" s="1">
        <v>0.36</v>
      </c>
    </row>
    <row r="45" spans="1:15" hidden="1" x14ac:dyDescent="0.3">
      <c r="A45" s="1" t="s">
        <v>20</v>
      </c>
      <c r="B45" s="1" t="s">
        <v>29</v>
      </c>
      <c r="C45" s="1">
        <v>49.5</v>
      </c>
      <c r="D45" s="1">
        <v>141</v>
      </c>
      <c r="E45" s="1">
        <v>67</v>
      </c>
      <c r="F45" s="1">
        <v>0.161</v>
      </c>
      <c r="G45" s="1">
        <v>0.68799999999999994</v>
      </c>
      <c r="H45" s="1">
        <v>1.2</v>
      </c>
      <c r="I45" s="1">
        <v>3.1</v>
      </c>
      <c r="J45" s="1">
        <v>34.799999999999997</v>
      </c>
      <c r="K45" s="1">
        <v>51.5</v>
      </c>
      <c r="L45" s="1">
        <v>0.06</v>
      </c>
      <c r="M45" s="1">
        <v>6365.7</v>
      </c>
      <c r="N45" s="1">
        <v>2.08</v>
      </c>
      <c r="O45" s="1">
        <v>0.16</v>
      </c>
    </row>
    <row r="46" spans="1:15" hidden="1" x14ac:dyDescent="0.3">
      <c r="A46" s="1" t="s">
        <v>56</v>
      </c>
      <c r="B46" s="1" t="s">
        <v>22</v>
      </c>
      <c r="C46" s="1">
        <v>42</v>
      </c>
      <c r="D46" s="1">
        <v>156.30000000000001</v>
      </c>
      <c r="E46" s="1">
        <v>213</v>
      </c>
      <c r="F46" s="1">
        <v>0.69499999999999995</v>
      </c>
      <c r="G46" s="1">
        <v>0.85</v>
      </c>
      <c r="H46" s="1">
        <v>9.1</v>
      </c>
      <c r="I46" s="1">
        <v>1.2</v>
      </c>
      <c r="J46" s="1">
        <v>38.5</v>
      </c>
      <c r="K46" s="1">
        <v>29.3</v>
      </c>
      <c r="L46" s="1">
        <v>0.06</v>
      </c>
      <c r="M46" s="1">
        <v>4636.8</v>
      </c>
      <c r="N46" s="1">
        <v>2.2000000000000002</v>
      </c>
      <c r="O46" s="1">
        <v>0.3</v>
      </c>
    </row>
    <row r="47" spans="1:15" x14ac:dyDescent="0.3">
      <c r="A47" s="1" t="s">
        <v>48</v>
      </c>
      <c r="B47" s="1" t="s">
        <v>16</v>
      </c>
      <c r="C47" s="1">
        <v>53.2</v>
      </c>
      <c r="D47" s="1">
        <v>129</v>
      </c>
      <c r="E47" s="1">
        <v>73</v>
      </c>
      <c r="F47" s="1">
        <v>0.98899999999999999</v>
      </c>
      <c r="G47" s="1">
        <v>0.67300000000000004</v>
      </c>
      <c r="H47" s="1">
        <v>1.6</v>
      </c>
      <c r="I47" s="1">
        <v>3.1</v>
      </c>
      <c r="J47" s="1">
        <v>33</v>
      </c>
      <c r="K47" s="1">
        <v>30.3</v>
      </c>
      <c r="L47" s="1">
        <v>7.0000000000000007E-2</v>
      </c>
      <c r="M47" s="1">
        <v>2334.1999999999998</v>
      </c>
      <c r="N47" s="1">
        <v>1.88</v>
      </c>
      <c r="O47" s="1">
        <v>0.78</v>
      </c>
    </row>
    <row r="48" spans="1:15" hidden="1" x14ac:dyDescent="0.3">
      <c r="A48" s="1" t="s">
        <v>25</v>
      </c>
      <c r="B48" s="1" t="s">
        <v>29</v>
      </c>
      <c r="C48" s="1">
        <v>52.1</v>
      </c>
      <c r="D48" s="1">
        <v>158</v>
      </c>
      <c r="E48" s="1">
        <v>204</v>
      </c>
      <c r="F48" s="1">
        <v>0.52100000000000002</v>
      </c>
      <c r="G48" s="1">
        <v>0.66900000000000004</v>
      </c>
      <c r="H48" s="1">
        <v>1.5</v>
      </c>
      <c r="I48" s="1">
        <v>3</v>
      </c>
      <c r="J48" s="1">
        <v>37.6</v>
      </c>
      <c r="K48" s="1">
        <v>33.200000000000003</v>
      </c>
      <c r="L48" s="1">
        <v>0.08</v>
      </c>
      <c r="M48" s="1">
        <v>6775.6</v>
      </c>
      <c r="N48" s="1">
        <v>1.88</v>
      </c>
      <c r="O48" s="1">
        <v>0.6</v>
      </c>
    </row>
    <row r="49" spans="1:15" x14ac:dyDescent="0.3">
      <c r="A49" s="1" t="s">
        <v>19</v>
      </c>
      <c r="B49" s="1" t="s">
        <v>29</v>
      </c>
      <c r="C49" s="1">
        <v>49.2</v>
      </c>
      <c r="D49" s="1">
        <v>148</v>
      </c>
      <c r="E49" s="1">
        <v>83</v>
      </c>
      <c r="F49" s="1">
        <v>0.46</v>
      </c>
      <c r="G49" s="1">
        <v>0.626</v>
      </c>
      <c r="H49" s="1">
        <v>1.4</v>
      </c>
      <c r="I49" s="1">
        <v>1.2</v>
      </c>
      <c r="J49" s="1">
        <v>32.1</v>
      </c>
      <c r="K49" s="1">
        <v>32.200000000000003</v>
      </c>
      <c r="L49" s="1">
        <v>7.0000000000000007E-2</v>
      </c>
      <c r="M49" s="1">
        <v>4234.5</v>
      </c>
      <c r="N49" s="1">
        <v>2.2000000000000002</v>
      </c>
      <c r="O49" s="1">
        <v>0.14000000000000001</v>
      </c>
    </row>
    <row r="50" spans="1:15" x14ac:dyDescent="0.3">
      <c r="A50" s="1" t="s">
        <v>31</v>
      </c>
      <c r="B50" s="1" t="s">
        <v>22</v>
      </c>
      <c r="C50" s="1">
        <v>49</v>
      </c>
      <c r="D50" s="1">
        <v>127.5</v>
      </c>
      <c r="E50" s="1">
        <v>126</v>
      </c>
      <c r="F50" s="1">
        <v>0.314</v>
      </c>
      <c r="G50" s="1">
        <v>0.621</v>
      </c>
      <c r="H50" s="1">
        <v>10.199999999999999</v>
      </c>
      <c r="I50" s="1">
        <v>2.2000000000000002</v>
      </c>
      <c r="J50" s="1">
        <v>37.6</v>
      </c>
      <c r="K50" s="1">
        <v>35.4</v>
      </c>
      <c r="L50" s="1">
        <v>0.03</v>
      </c>
      <c r="M50" s="1">
        <v>5103.8999999999996</v>
      </c>
      <c r="N50" s="1">
        <v>2.4</v>
      </c>
      <c r="O50" s="1">
        <v>0.42</v>
      </c>
    </row>
    <row r="51" spans="1:15" x14ac:dyDescent="0.3">
      <c r="A51" s="1" t="s">
        <v>45</v>
      </c>
      <c r="B51" s="1" t="s">
        <v>16</v>
      </c>
      <c r="C51" s="1">
        <v>48.3</v>
      </c>
      <c r="D51" s="1">
        <v>152</v>
      </c>
      <c r="E51" s="1">
        <v>78</v>
      </c>
      <c r="F51" s="1">
        <v>0.34399999999999997</v>
      </c>
      <c r="G51" s="1">
        <v>0.72199999999999998</v>
      </c>
      <c r="H51" s="1">
        <v>1.4</v>
      </c>
      <c r="I51" s="1">
        <v>2.1</v>
      </c>
      <c r="J51" s="1">
        <v>36.6</v>
      </c>
      <c r="K51" s="1">
        <v>33.200000000000003</v>
      </c>
      <c r="L51" s="1">
        <v>0.09</v>
      </c>
      <c r="M51" s="1">
        <v>4357.7</v>
      </c>
      <c r="N51" s="1">
        <v>1.4</v>
      </c>
      <c r="O51" s="1">
        <v>0.7</v>
      </c>
    </row>
    <row r="52" spans="1:15" hidden="1" x14ac:dyDescent="0.3">
      <c r="A52" s="1" t="s">
        <v>56</v>
      </c>
      <c r="B52" s="1" t="s">
        <v>16</v>
      </c>
      <c r="C52" s="1">
        <v>43</v>
      </c>
      <c r="D52" s="1">
        <v>155.30000000000001</v>
      </c>
      <c r="E52" s="1">
        <v>211</v>
      </c>
      <c r="F52" s="1">
        <v>0.64500000000000002</v>
      </c>
      <c r="G52" s="1">
        <v>0.83399999999999996</v>
      </c>
      <c r="H52" s="1">
        <v>8.9</v>
      </c>
      <c r="I52" s="1">
        <v>1.6</v>
      </c>
      <c r="J52" s="1">
        <v>33.799999999999997</v>
      </c>
      <c r="K52" s="1">
        <v>30.2</v>
      </c>
      <c r="L52" s="1">
        <v>0.09</v>
      </c>
      <c r="M52" s="1">
        <v>4549.3999999999996</v>
      </c>
      <c r="N52" s="1">
        <v>1.84</v>
      </c>
      <c r="O52" s="1">
        <v>0.34</v>
      </c>
    </row>
    <row r="53" spans="1:15" x14ac:dyDescent="0.3">
      <c r="A53" s="1" t="s">
        <v>57</v>
      </c>
      <c r="B53" s="1" t="s">
        <v>22</v>
      </c>
      <c r="C53" s="1">
        <v>52.8</v>
      </c>
      <c r="D53" s="1">
        <v>143</v>
      </c>
      <c r="E53" s="1">
        <v>138</v>
      </c>
      <c r="F53" s="1">
        <v>0.46300000000000002</v>
      </c>
      <c r="G53" s="1">
        <v>0.70599999999999996</v>
      </c>
      <c r="H53" s="1">
        <v>1.7</v>
      </c>
      <c r="I53" s="1">
        <v>2.8</v>
      </c>
      <c r="J53" s="1">
        <v>33.5</v>
      </c>
      <c r="K53" s="1">
        <v>36.1</v>
      </c>
      <c r="L53" s="1">
        <v>0.09</v>
      </c>
      <c r="M53" s="1">
        <v>5990.3</v>
      </c>
      <c r="N53" s="1">
        <v>2.4</v>
      </c>
      <c r="O53" s="1">
        <v>0.6</v>
      </c>
    </row>
    <row r="54" spans="1:15" hidden="1" x14ac:dyDescent="0.3">
      <c r="A54" s="1" t="s">
        <v>48</v>
      </c>
      <c r="B54" s="1" t="s">
        <v>29</v>
      </c>
      <c r="C54" s="1">
        <v>51.2</v>
      </c>
      <c r="D54" s="1">
        <v>154</v>
      </c>
      <c r="E54" s="1">
        <v>181</v>
      </c>
      <c r="F54" s="1">
        <v>0.55000000000000004</v>
      </c>
      <c r="G54" s="1">
        <v>0.44700000000000001</v>
      </c>
      <c r="H54" s="1">
        <v>4.0999999999999996</v>
      </c>
      <c r="I54" s="1">
        <v>1.2</v>
      </c>
      <c r="J54" s="1">
        <v>36.200000000000003</v>
      </c>
      <c r="K54" s="1">
        <v>34.4</v>
      </c>
      <c r="L54" s="1">
        <v>0.09</v>
      </c>
      <c r="M54" s="1">
        <v>5495.6</v>
      </c>
      <c r="N54" s="1">
        <v>1.9</v>
      </c>
      <c r="O54" s="1">
        <v>0.6</v>
      </c>
    </row>
    <row r="55" spans="1:15" hidden="1" x14ac:dyDescent="0.3">
      <c r="A55" s="1" t="s">
        <v>58</v>
      </c>
      <c r="B55" s="1" t="s">
        <v>29</v>
      </c>
      <c r="C55" s="1">
        <v>50.4</v>
      </c>
      <c r="D55" s="1">
        <v>147.80000000000001</v>
      </c>
      <c r="E55" s="1">
        <v>150</v>
      </c>
      <c r="F55" s="1">
        <v>0.98899999999999999</v>
      </c>
      <c r="G55" s="1">
        <v>0.66200000000000003</v>
      </c>
      <c r="H55" s="1">
        <v>5.2</v>
      </c>
      <c r="I55" s="1">
        <v>1.2</v>
      </c>
      <c r="J55" s="1">
        <v>34.799999999999997</v>
      </c>
      <c r="K55" s="1">
        <v>35.299999999999997</v>
      </c>
      <c r="L55" s="1">
        <v>0.09</v>
      </c>
      <c r="M55" s="1">
        <v>3356.6</v>
      </c>
      <c r="N55" s="1">
        <v>1.88</v>
      </c>
      <c r="O55" s="1">
        <v>1.7</v>
      </c>
    </row>
    <row r="56" spans="1:15" hidden="1" x14ac:dyDescent="0.3">
      <c r="A56" s="1" t="s">
        <v>55</v>
      </c>
      <c r="B56" s="1" t="s">
        <v>29</v>
      </c>
      <c r="C56" s="1">
        <v>52.2</v>
      </c>
      <c r="D56" s="1">
        <v>129</v>
      </c>
      <c r="E56" s="1">
        <v>132</v>
      </c>
      <c r="F56" s="1">
        <v>0.19400000000000001</v>
      </c>
      <c r="G56" s="1">
        <v>0.81100000000000005</v>
      </c>
      <c r="H56" s="1">
        <v>1.3</v>
      </c>
      <c r="I56" s="1">
        <v>3.1</v>
      </c>
      <c r="J56" s="1">
        <v>39.6</v>
      </c>
      <c r="K56" s="1">
        <v>43.3</v>
      </c>
      <c r="L56" s="1">
        <v>0.05</v>
      </c>
      <c r="M56" s="1">
        <v>5457.4</v>
      </c>
      <c r="N56" s="1">
        <v>1.86</v>
      </c>
      <c r="O56" s="1">
        <v>0.36</v>
      </c>
    </row>
    <row r="57" spans="1:15" hidden="1" x14ac:dyDescent="0.3">
      <c r="A57" s="1" t="s">
        <v>25</v>
      </c>
      <c r="B57" s="1" t="s">
        <v>22</v>
      </c>
      <c r="C57" s="1">
        <v>50</v>
      </c>
      <c r="D57" s="1">
        <v>159</v>
      </c>
      <c r="E57" s="1">
        <v>207</v>
      </c>
      <c r="F57" s="1">
        <v>0.56299999999999994</v>
      </c>
      <c r="G57" s="1">
        <v>0.68500000000000005</v>
      </c>
      <c r="H57" s="1">
        <v>1.3</v>
      </c>
      <c r="I57" s="1">
        <v>3.1</v>
      </c>
      <c r="J57" s="1">
        <v>34.799999999999997</v>
      </c>
      <c r="K57" s="1">
        <v>35.5</v>
      </c>
      <c r="L57" s="1">
        <v>0.05</v>
      </c>
      <c r="M57" s="1">
        <v>6934.3</v>
      </c>
      <c r="N57" s="1">
        <v>2.2000000000000002</v>
      </c>
      <c r="O57" s="1">
        <v>0.42</v>
      </c>
    </row>
    <row r="58" spans="1:15" x14ac:dyDescent="0.3">
      <c r="A58" s="1" t="s">
        <v>44</v>
      </c>
      <c r="B58" s="1" t="s">
        <v>16</v>
      </c>
      <c r="C58" s="1">
        <v>52.2</v>
      </c>
      <c r="D58" s="1">
        <v>159</v>
      </c>
      <c r="E58" s="1">
        <v>131</v>
      </c>
      <c r="F58" s="1">
        <v>0.16300000000000001</v>
      </c>
      <c r="G58" s="1">
        <v>0.65400000000000003</v>
      </c>
      <c r="H58" s="1">
        <v>1.5</v>
      </c>
      <c r="I58" s="1">
        <v>3.2</v>
      </c>
      <c r="J58" s="1">
        <v>35.299999999999997</v>
      </c>
      <c r="K58" s="1">
        <v>34.299999999999997</v>
      </c>
      <c r="L58" s="1">
        <v>0.09</v>
      </c>
      <c r="M58" s="1">
        <v>5453.4</v>
      </c>
      <c r="N58" s="1">
        <v>2.2000000000000002</v>
      </c>
      <c r="O58" s="1">
        <v>0.23</v>
      </c>
    </row>
    <row r="59" spans="1:15" x14ac:dyDescent="0.3">
      <c r="A59" s="1" t="s">
        <v>48</v>
      </c>
      <c r="B59" s="1" t="s">
        <v>22</v>
      </c>
      <c r="C59" s="1">
        <v>51</v>
      </c>
      <c r="D59" s="1">
        <v>128.9</v>
      </c>
      <c r="E59" s="1">
        <v>70</v>
      </c>
      <c r="F59" s="1">
        <v>1.1000000000000001</v>
      </c>
      <c r="G59" s="1">
        <v>0.66</v>
      </c>
      <c r="H59" s="1">
        <v>1.5</v>
      </c>
      <c r="I59" s="1">
        <v>3.3</v>
      </c>
      <c r="J59" s="1">
        <v>39.6</v>
      </c>
      <c r="K59" s="1">
        <v>29.6</v>
      </c>
      <c r="L59" s="1">
        <v>0.08</v>
      </c>
      <c r="M59" s="1">
        <v>2567.9</v>
      </c>
      <c r="N59" s="1">
        <v>1.8</v>
      </c>
      <c r="O59" s="1">
        <v>0.84</v>
      </c>
    </row>
    <row r="60" spans="1:15" hidden="1" x14ac:dyDescent="0.3">
      <c r="A60" s="1" t="s">
        <v>50</v>
      </c>
      <c r="B60" s="1" t="s">
        <v>22</v>
      </c>
      <c r="C60" s="1">
        <v>44.3</v>
      </c>
      <c r="D60" s="1">
        <v>159</v>
      </c>
      <c r="E60" s="1">
        <v>96</v>
      </c>
      <c r="F60" s="1">
        <v>0.54600000000000004</v>
      </c>
      <c r="G60" s="1">
        <v>0.68600000000000005</v>
      </c>
      <c r="H60" s="1">
        <v>6.2</v>
      </c>
      <c r="I60" s="1">
        <v>1.3</v>
      </c>
      <c r="J60" s="1">
        <v>39.6</v>
      </c>
      <c r="K60" s="1">
        <v>47.5</v>
      </c>
      <c r="L60" s="1">
        <v>0.1</v>
      </c>
      <c r="M60" s="1">
        <v>4679.8999999999996</v>
      </c>
      <c r="N60" s="1">
        <v>1.84</v>
      </c>
      <c r="O60" s="1">
        <v>1.1499999999999999</v>
      </c>
    </row>
    <row r="61" spans="1:15" x14ac:dyDescent="0.3">
      <c r="A61" s="1" t="s">
        <v>26</v>
      </c>
      <c r="B61" s="1" t="s">
        <v>29</v>
      </c>
      <c r="C61" s="1">
        <v>47.7</v>
      </c>
      <c r="D61" s="1">
        <v>157</v>
      </c>
      <c r="E61" s="1">
        <v>65</v>
      </c>
      <c r="F61" s="1">
        <v>0.29399999999999998</v>
      </c>
      <c r="G61" s="1">
        <v>0.625</v>
      </c>
      <c r="H61" s="1">
        <v>7.1</v>
      </c>
      <c r="I61" s="1">
        <v>1.3</v>
      </c>
      <c r="J61" s="1">
        <v>33.5</v>
      </c>
      <c r="K61" s="1">
        <v>33.4</v>
      </c>
      <c r="L61" s="1">
        <v>0.08</v>
      </c>
      <c r="M61" s="1">
        <v>3221.3</v>
      </c>
      <c r="N61" s="1">
        <v>2.0499999999999998</v>
      </c>
      <c r="O61" s="1">
        <v>0.15</v>
      </c>
    </row>
    <row r="62" spans="1:15" hidden="1" x14ac:dyDescent="0.3">
      <c r="A62" s="1" t="s">
        <v>49</v>
      </c>
      <c r="B62" s="1" t="s">
        <v>29</v>
      </c>
      <c r="C62" s="1">
        <v>51</v>
      </c>
      <c r="D62" s="1">
        <v>218</v>
      </c>
      <c r="E62" s="1">
        <v>127</v>
      </c>
      <c r="F62" s="1">
        <v>0.32300000000000001</v>
      </c>
      <c r="G62" s="1">
        <v>0.63300000000000001</v>
      </c>
      <c r="H62" s="1">
        <v>4.4000000000000004</v>
      </c>
      <c r="I62" s="1">
        <v>1.9</v>
      </c>
      <c r="J62" s="1">
        <v>34.700000000000003</v>
      </c>
      <c r="K62" s="1">
        <v>32.799999999999997</v>
      </c>
      <c r="L62" s="1">
        <v>7.0000000000000007E-2</v>
      </c>
      <c r="M62" s="1">
        <v>4211.5</v>
      </c>
      <c r="N62" s="1">
        <v>1.85</v>
      </c>
      <c r="O62" s="1">
        <v>0.48</v>
      </c>
    </row>
    <row r="63" spans="1:15" hidden="1" x14ac:dyDescent="0.3">
      <c r="A63" s="1" t="s">
        <v>59</v>
      </c>
      <c r="B63" s="1" t="s">
        <v>22</v>
      </c>
      <c r="C63" s="1">
        <v>50</v>
      </c>
      <c r="D63" s="1">
        <v>124.3</v>
      </c>
      <c r="E63" s="1">
        <v>33</v>
      </c>
      <c r="F63" s="1">
        <v>0.16900000000000001</v>
      </c>
      <c r="G63" s="1">
        <v>0.71299999999999997</v>
      </c>
      <c r="H63" s="1">
        <v>4.7</v>
      </c>
      <c r="I63" s="1">
        <v>7.8</v>
      </c>
      <c r="J63" s="1">
        <v>34.799999999999997</v>
      </c>
      <c r="K63" s="1">
        <v>26.4</v>
      </c>
      <c r="L63" s="1">
        <v>0.02</v>
      </c>
      <c r="M63" s="1">
        <v>2470</v>
      </c>
      <c r="N63" s="1">
        <v>2.08</v>
      </c>
      <c r="O63" s="1">
        <v>0.33</v>
      </c>
    </row>
    <row r="64" spans="1:15" x14ac:dyDescent="0.3">
      <c r="A64" s="1" t="s">
        <v>15</v>
      </c>
      <c r="B64" s="1" t="s">
        <v>22</v>
      </c>
      <c r="C64" s="1">
        <v>51.2</v>
      </c>
      <c r="D64" s="1">
        <v>130</v>
      </c>
      <c r="E64" s="1">
        <v>113</v>
      </c>
      <c r="F64" s="1">
        <v>0.43</v>
      </c>
      <c r="G64" s="1">
        <v>0.76200000000000001</v>
      </c>
      <c r="H64" s="1">
        <v>1.1000000000000001</v>
      </c>
      <c r="I64" s="1">
        <v>3.5</v>
      </c>
      <c r="J64" s="1">
        <v>37.4</v>
      </c>
      <c r="K64" s="1">
        <v>36.4</v>
      </c>
      <c r="L64" s="1">
        <v>0.1</v>
      </c>
      <c r="M64" s="1">
        <v>5740.7</v>
      </c>
      <c r="N64" s="1">
        <v>2.6</v>
      </c>
      <c r="O64" s="1">
        <v>0.6</v>
      </c>
    </row>
    <row r="65" spans="1:15" hidden="1" x14ac:dyDescent="0.3">
      <c r="A65" s="1" t="s">
        <v>60</v>
      </c>
      <c r="B65" s="1" t="s">
        <v>29</v>
      </c>
      <c r="C65" s="1">
        <v>50.3</v>
      </c>
      <c r="D65" s="1">
        <v>88</v>
      </c>
      <c r="E65" s="1">
        <v>93</v>
      </c>
      <c r="F65" s="1">
        <v>0.51300000000000001</v>
      </c>
      <c r="G65" s="1">
        <v>0.66700000000000004</v>
      </c>
      <c r="H65" s="1">
        <v>8</v>
      </c>
      <c r="I65" s="1">
        <v>1.2</v>
      </c>
      <c r="J65" s="1">
        <v>36.5</v>
      </c>
      <c r="K65" s="1">
        <v>33.700000000000003</v>
      </c>
      <c r="L65" s="1">
        <v>0.08</v>
      </c>
      <c r="M65" s="1">
        <v>4356.3999999999996</v>
      </c>
      <c r="N65" s="1">
        <v>2.08</v>
      </c>
      <c r="O65" s="1">
        <v>0.56000000000000005</v>
      </c>
    </row>
    <row r="66" spans="1:15" hidden="1" x14ac:dyDescent="0.3">
      <c r="A66" s="1" t="s">
        <v>49</v>
      </c>
      <c r="B66" s="1" t="s">
        <v>16</v>
      </c>
      <c r="C66" s="1">
        <v>50</v>
      </c>
      <c r="D66" s="1">
        <v>162</v>
      </c>
      <c r="E66" s="1">
        <v>221</v>
      </c>
      <c r="F66" s="1">
        <v>0.34499999999999997</v>
      </c>
      <c r="G66" s="1">
        <v>0.69899999999999995</v>
      </c>
      <c r="H66" s="1">
        <v>4.3</v>
      </c>
      <c r="I66" s="1">
        <v>1.4</v>
      </c>
      <c r="J66" s="1">
        <v>34.6</v>
      </c>
      <c r="K66" s="1">
        <v>34.5</v>
      </c>
      <c r="L66" s="1">
        <v>0.05</v>
      </c>
      <c r="M66" s="1">
        <v>4254.6000000000004</v>
      </c>
      <c r="N66" s="1">
        <v>1.9</v>
      </c>
      <c r="O66" s="1">
        <v>0.44</v>
      </c>
    </row>
    <row r="67" spans="1:15" hidden="1" x14ac:dyDescent="0.3">
      <c r="A67" s="1" t="s">
        <v>61</v>
      </c>
      <c r="B67" s="1" t="s">
        <v>29</v>
      </c>
      <c r="C67" s="1">
        <v>55.2</v>
      </c>
      <c r="D67" s="1">
        <v>164</v>
      </c>
      <c r="E67" s="1">
        <v>233</v>
      </c>
      <c r="F67" s="1">
        <v>0.24399999999999999</v>
      </c>
      <c r="G67" s="1">
        <v>0.434</v>
      </c>
      <c r="H67" s="1">
        <v>2.2999999999999998</v>
      </c>
      <c r="I67" s="1">
        <v>3</v>
      </c>
      <c r="J67" s="1">
        <v>38.5</v>
      </c>
      <c r="K67" s="1">
        <v>42.2</v>
      </c>
      <c r="L67" s="1">
        <v>0.09</v>
      </c>
      <c r="M67" s="1">
        <v>7655.4</v>
      </c>
      <c r="N67" s="1">
        <v>2.08</v>
      </c>
      <c r="O67" s="1">
        <v>0.7</v>
      </c>
    </row>
    <row r="68" spans="1:15" x14ac:dyDescent="0.3">
      <c r="A68" s="1" t="s">
        <v>52</v>
      </c>
      <c r="B68" s="1" t="s">
        <v>22</v>
      </c>
      <c r="C68" s="1">
        <v>48.2</v>
      </c>
      <c r="D68" s="1">
        <v>129.80000000000001</v>
      </c>
      <c r="E68" s="1">
        <v>92</v>
      </c>
      <c r="F68" s="1">
        <v>0.67500000000000004</v>
      </c>
      <c r="G68" s="1">
        <v>0.64</v>
      </c>
      <c r="H68" s="1">
        <v>1.1000000000000001</v>
      </c>
      <c r="I68" s="1">
        <v>1.5</v>
      </c>
      <c r="J68" s="1">
        <v>38.200000000000003</v>
      </c>
      <c r="K68" s="1">
        <v>33.6</v>
      </c>
      <c r="L68" s="1">
        <v>0.05</v>
      </c>
      <c r="M68" s="1">
        <v>4001</v>
      </c>
      <c r="N68" s="1">
        <v>2.2000000000000002</v>
      </c>
      <c r="O68" s="1">
        <v>0.18</v>
      </c>
    </row>
    <row r="69" spans="1:15" hidden="1" x14ac:dyDescent="0.3">
      <c r="A69" s="1" t="s">
        <v>23</v>
      </c>
      <c r="B69" s="1" t="s">
        <v>29</v>
      </c>
      <c r="C69" s="1">
        <v>53.2</v>
      </c>
      <c r="D69" s="1">
        <v>135</v>
      </c>
      <c r="E69" s="1">
        <v>59</v>
      </c>
      <c r="F69" s="1">
        <v>0.23200000000000001</v>
      </c>
      <c r="G69" s="1">
        <v>0.66900000000000004</v>
      </c>
      <c r="H69" s="1">
        <v>4.0999999999999996</v>
      </c>
      <c r="I69" s="1">
        <v>1.1000000000000001</v>
      </c>
      <c r="J69" s="1">
        <v>33.6</v>
      </c>
      <c r="K69" s="1">
        <v>41.3</v>
      </c>
      <c r="L69" s="1">
        <v>0.06</v>
      </c>
      <c r="M69" s="1">
        <v>4568.8</v>
      </c>
      <c r="N69" s="1">
        <v>2.2000000000000002</v>
      </c>
      <c r="O69" s="1">
        <v>0.4</v>
      </c>
    </row>
    <row r="70" spans="1:15" x14ac:dyDescent="0.3">
      <c r="A70" s="1" t="s">
        <v>57</v>
      </c>
      <c r="B70" s="1" t="s">
        <v>29</v>
      </c>
      <c r="C70" s="1">
        <v>49.8</v>
      </c>
      <c r="D70" s="1">
        <v>145</v>
      </c>
      <c r="E70" s="1">
        <v>136</v>
      </c>
      <c r="F70" s="1">
        <v>0.44700000000000001</v>
      </c>
      <c r="G70" s="1">
        <v>0.72299999999999998</v>
      </c>
      <c r="H70" s="1">
        <v>1.4</v>
      </c>
      <c r="I70" s="1">
        <v>2</v>
      </c>
      <c r="J70" s="1">
        <v>37.6</v>
      </c>
      <c r="K70" s="1">
        <v>36.4</v>
      </c>
      <c r="L70" s="1">
        <v>0.05</v>
      </c>
      <c r="M70" s="1">
        <v>5112.8999999999996</v>
      </c>
      <c r="N70" s="1">
        <v>2.08</v>
      </c>
      <c r="O70" s="1">
        <v>0.5</v>
      </c>
    </row>
    <row r="71" spans="1:15" hidden="1" x14ac:dyDescent="0.3">
      <c r="A71" s="1" t="s">
        <v>30</v>
      </c>
      <c r="B71" s="1" t="s">
        <v>29</v>
      </c>
      <c r="C71" s="1">
        <v>42.3</v>
      </c>
      <c r="D71" s="1">
        <v>163</v>
      </c>
      <c r="E71" s="1">
        <v>123</v>
      </c>
      <c r="F71" s="1">
        <v>0.61199999999999999</v>
      </c>
      <c r="G71" s="1">
        <v>0.48799999999999999</v>
      </c>
      <c r="H71" s="1">
        <v>1.2</v>
      </c>
      <c r="I71" s="1">
        <v>3.3</v>
      </c>
      <c r="J71" s="1">
        <v>39.5</v>
      </c>
      <c r="K71" s="1">
        <v>31.9</v>
      </c>
      <c r="L71" s="1">
        <v>0.1</v>
      </c>
      <c r="M71" s="1">
        <v>4324.7</v>
      </c>
      <c r="N71" s="1">
        <v>1.8</v>
      </c>
      <c r="O71" s="1">
        <v>0.7</v>
      </c>
    </row>
    <row r="72" spans="1:15" x14ac:dyDescent="0.3">
      <c r="A72" s="1" t="s">
        <v>62</v>
      </c>
      <c r="B72" s="1" t="s">
        <v>16</v>
      </c>
      <c r="C72" s="1">
        <v>51.3</v>
      </c>
      <c r="D72" s="1">
        <v>130</v>
      </c>
      <c r="E72" s="1">
        <v>131</v>
      </c>
      <c r="F72" s="1">
        <v>0.53400000000000003</v>
      </c>
      <c r="G72" s="1">
        <v>0.67700000000000005</v>
      </c>
      <c r="H72" s="1">
        <v>2.8</v>
      </c>
      <c r="I72" s="1">
        <v>2.2000000000000002</v>
      </c>
      <c r="J72" s="1">
        <v>35.299999999999997</v>
      </c>
      <c r="K72" s="1">
        <v>33.6</v>
      </c>
      <c r="L72" s="1">
        <v>0.08</v>
      </c>
      <c r="M72" s="1">
        <v>5454.4</v>
      </c>
      <c r="N72" s="1">
        <v>1.84</v>
      </c>
      <c r="O72" s="1">
        <v>0.44</v>
      </c>
    </row>
    <row r="73" spans="1:15" hidden="1" x14ac:dyDescent="0.3">
      <c r="A73" s="1" t="s">
        <v>58</v>
      </c>
      <c r="B73" s="1" t="s">
        <v>16</v>
      </c>
      <c r="C73" s="1">
        <v>50.5</v>
      </c>
      <c r="D73" s="1">
        <v>148</v>
      </c>
      <c r="E73" s="1">
        <v>149</v>
      </c>
      <c r="F73" s="1">
        <v>1.1020000000000001</v>
      </c>
      <c r="G73" s="1">
        <v>0.66200000000000003</v>
      </c>
      <c r="H73" s="1">
        <v>5.5</v>
      </c>
      <c r="I73" s="1">
        <v>1.1000000000000001</v>
      </c>
      <c r="J73" s="1">
        <v>31.7</v>
      </c>
      <c r="K73" s="1">
        <v>36.299999999999997</v>
      </c>
      <c r="L73" s="1">
        <v>0.08</v>
      </c>
      <c r="M73" s="1">
        <v>3876.6</v>
      </c>
      <c r="N73" s="1">
        <v>1.65</v>
      </c>
      <c r="O73" s="1">
        <v>1.8</v>
      </c>
    </row>
    <row r="74" spans="1:15" x14ac:dyDescent="0.3">
      <c r="A74" s="1" t="s">
        <v>53</v>
      </c>
      <c r="B74" s="1" t="s">
        <v>29</v>
      </c>
      <c r="C74" s="1">
        <v>51.3</v>
      </c>
      <c r="D74" s="1">
        <v>132</v>
      </c>
      <c r="E74" s="1">
        <v>135</v>
      </c>
      <c r="F74" s="1">
        <v>0.754</v>
      </c>
      <c r="G74" s="1">
        <v>0.71199999999999997</v>
      </c>
      <c r="H74" s="1">
        <v>7</v>
      </c>
      <c r="I74" s="1">
        <v>1.1000000000000001</v>
      </c>
      <c r="J74" s="1">
        <v>37.700000000000003</v>
      </c>
      <c r="K74" s="1">
        <v>31.6</v>
      </c>
      <c r="L74" s="1">
        <v>7.0000000000000007E-2</v>
      </c>
      <c r="M74" s="1">
        <v>2578.4</v>
      </c>
      <c r="N74" s="1">
        <v>2.08</v>
      </c>
      <c r="O74" s="1">
        <v>0.4</v>
      </c>
    </row>
    <row r="75" spans="1:15" x14ac:dyDescent="0.3">
      <c r="A75" s="1" t="s">
        <v>33</v>
      </c>
      <c r="B75" s="1" t="s">
        <v>22</v>
      </c>
      <c r="C75" s="1">
        <v>50.5</v>
      </c>
      <c r="D75" s="1">
        <v>150</v>
      </c>
      <c r="E75" s="1">
        <v>120</v>
      </c>
      <c r="F75" s="1">
        <v>0.51200000000000001</v>
      </c>
      <c r="G75" s="1">
        <v>0.71599999999999997</v>
      </c>
      <c r="H75" s="1">
        <v>2.4</v>
      </c>
      <c r="I75" s="1">
        <v>3.4</v>
      </c>
      <c r="J75" s="1">
        <v>32.5</v>
      </c>
      <c r="K75" s="1">
        <v>34.700000000000003</v>
      </c>
      <c r="L75" s="1">
        <v>0.08</v>
      </c>
      <c r="M75" s="1">
        <v>3959.9</v>
      </c>
      <c r="N75" s="1">
        <v>1.8</v>
      </c>
      <c r="O75" s="1">
        <v>0.84</v>
      </c>
    </row>
    <row r="76" spans="1:15" x14ac:dyDescent="0.3">
      <c r="A76" s="1" t="s">
        <v>54</v>
      </c>
      <c r="B76" s="1" t="s">
        <v>16</v>
      </c>
      <c r="C76" s="1">
        <v>50.2</v>
      </c>
      <c r="D76" s="1">
        <v>158</v>
      </c>
      <c r="E76" s="1">
        <v>99</v>
      </c>
      <c r="F76" s="1">
        <v>0.21</v>
      </c>
      <c r="G76" s="1">
        <v>0.77400000000000002</v>
      </c>
      <c r="H76" s="1">
        <v>4.0999999999999996</v>
      </c>
      <c r="I76" s="1">
        <v>2.1</v>
      </c>
      <c r="J76" s="1">
        <v>39.9</v>
      </c>
      <c r="K76" s="1">
        <v>27.4</v>
      </c>
      <c r="L76" s="1">
        <v>0.05</v>
      </c>
      <c r="M76" s="1">
        <v>4235.5</v>
      </c>
      <c r="N76" s="1">
        <v>2.1</v>
      </c>
      <c r="O76" s="1">
        <v>0.6</v>
      </c>
    </row>
    <row r="77" spans="1:15" x14ac:dyDescent="0.3">
      <c r="A77" s="1" t="s">
        <v>21</v>
      </c>
      <c r="B77" s="1" t="s">
        <v>16</v>
      </c>
      <c r="C77" s="1">
        <v>50</v>
      </c>
      <c r="D77" s="1">
        <v>174</v>
      </c>
      <c r="E77" s="1">
        <v>77</v>
      </c>
      <c r="F77" s="1">
        <v>0.77500000000000002</v>
      </c>
      <c r="G77" s="1">
        <v>0.73</v>
      </c>
      <c r="H77" s="1">
        <v>7</v>
      </c>
      <c r="I77" s="1">
        <v>2.2999999999999998</v>
      </c>
      <c r="J77" s="1">
        <v>36.4</v>
      </c>
      <c r="K77" s="1">
        <v>32.200000000000003</v>
      </c>
      <c r="L77" s="1">
        <v>0.09</v>
      </c>
      <c r="M77" s="1">
        <v>3778.3</v>
      </c>
      <c r="N77" s="1">
        <v>2.08</v>
      </c>
      <c r="O77" s="1">
        <v>0.5</v>
      </c>
    </row>
    <row r="78" spans="1:15" x14ac:dyDescent="0.3">
      <c r="A78" s="1" t="s">
        <v>53</v>
      </c>
      <c r="B78" s="1" t="s">
        <v>16</v>
      </c>
      <c r="C78" s="1">
        <v>47</v>
      </c>
      <c r="D78" s="1">
        <v>129</v>
      </c>
      <c r="E78" s="1">
        <v>134</v>
      </c>
      <c r="F78" s="1">
        <v>0.745</v>
      </c>
      <c r="G78" s="1">
        <v>0.72199999999999998</v>
      </c>
      <c r="H78" s="1">
        <v>7.2</v>
      </c>
      <c r="I78" s="1">
        <v>1.3</v>
      </c>
      <c r="J78" s="1">
        <v>37.6</v>
      </c>
      <c r="K78" s="1">
        <v>33.200000000000003</v>
      </c>
      <c r="L78" s="1">
        <v>0.09</v>
      </c>
      <c r="M78" s="1">
        <v>2775.4</v>
      </c>
      <c r="N78" s="1">
        <v>2.2000000000000002</v>
      </c>
      <c r="O78" s="1">
        <v>0.5</v>
      </c>
    </row>
    <row r="79" spans="1:15" x14ac:dyDescent="0.3">
      <c r="A79" s="1" t="s">
        <v>47</v>
      </c>
      <c r="B79" s="1" t="s">
        <v>16</v>
      </c>
      <c r="C79" s="1">
        <v>50</v>
      </c>
      <c r="D79" s="1">
        <v>159</v>
      </c>
      <c r="E79" s="1">
        <v>83</v>
      </c>
      <c r="F79" s="1">
        <v>0.65700000000000003</v>
      </c>
      <c r="G79" s="1">
        <v>0.73299999999999998</v>
      </c>
      <c r="H79" s="1">
        <v>6.3</v>
      </c>
      <c r="I79" s="1">
        <v>1.3</v>
      </c>
      <c r="J79" s="1">
        <v>36.200000000000003</v>
      </c>
      <c r="K79" s="1">
        <v>37.700000000000003</v>
      </c>
      <c r="L79" s="1">
        <v>0.04</v>
      </c>
      <c r="M79" s="1">
        <v>3789.3</v>
      </c>
      <c r="N79" s="1">
        <v>1.7</v>
      </c>
      <c r="O79" s="1">
        <v>0.33</v>
      </c>
    </row>
    <row r="80" spans="1:15" hidden="1" x14ac:dyDescent="0.3">
      <c r="A80" s="1" t="s">
        <v>55</v>
      </c>
      <c r="B80" s="1" t="s">
        <v>16</v>
      </c>
      <c r="C80" s="1">
        <v>52.3</v>
      </c>
      <c r="D80" s="1">
        <v>128</v>
      </c>
      <c r="E80" s="1">
        <v>133</v>
      </c>
      <c r="F80" s="1">
        <v>0.19600000000000001</v>
      </c>
      <c r="G80" s="1">
        <v>0.82599999999999996</v>
      </c>
      <c r="H80" s="1">
        <v>1.5</v>
      </c>
      <c r="I80" s="1">
        <v>3.3</v>
      </c>
      <c r="J80" s="1">
        <v>39.6</v>
      </c>
      <c r="K80" s="1">
        <v>42.2</v>
      </c>
      <c r="L80" s="1">
        <v>0.04</v>
      </c>
      <c r="M80" s="1">
        <v>5660.2</v>
      </c>
      <c r="N80" s="1">
        <v>2.08</v>
      </c>
      <c r="O80" s="1">
        <v>0.4</v>
      </c>
    </row>
    <row r="81" spans="1:15" hidden="1" x14ac:dyDescent="0.3">
      <c r="A81" s="1" t="s">
        <v>48</v>
      </c>
      <c r="B81" s="1" t="s">
        <v>16</v>
      </c>
      <c r="C81" s="1">
        <v>50.7</v>
      </c>
      <c r="D81" s="1">
        <v>155</v>
      </c>
      <c r="E81" s="1">
        <v>182</v>
      </c>
      <c r="F81" s="1">
        <v>0.44500000000000001</v>
      </c>
      <c r="G81" s="1">
        <v>0.442</v>
      </c>
      <c r="H81" s="1">
        <v>3.2</v>
      </c>
      <c r="I81" s="1">
        <v>1.1000000000000001</v>
      </c>
      <c r="J81" s="1">
        <v>34.799999999999997</v>
      </c>
      <c r="K81" s="1">
        <v>36.299999999999997</v>
      </c>
      <c r="L81" s="1">
        <v>7.0000000000000007E-2</v>
      </c>
      <c r="M81" s="1">
        <v>5233.5</v>
      </c>
      <c r="N81" s="1">
        <v>1.8</v>
      </c>
      <c r="O81" s="1">
        <v>0.84</v>
      </c>
    </row>
    <row r="82" spans="1:15" x14ac:dyDescent="0.3">
      <c r="A82" s="1" t="s">
        <v>60</v>
      </c>
      <c r="B82" s="1" t="s">
        <v>16</v>
      </c>
      <c r="C82" s="1">
        <v>50</v>
      </c>
      <c r="D82" s="1">
        <v>166.3</v>
      </c>
      <c r="E82" s="1">
        <v>85</v>
      </c>
      <c r="F82" s="1">
        <v>0.52300000000000002</v>
      </c>
      <c r="G82" s="1">
        <v>0.67600000000000005</v>
      </c>
      <c r="H82" s="1">
        <v>8.5</v>
      </c>
      <c r="I82" s="1">
        <v>1.3</v>
      </c>
      <c r="J82" s="1">
        <v>36.5</v>
      </c>
      <c r="K82" s="1">
        <v>35.200000000000003</v>
      </c>
      <c r="L82" s="1">
        <v>0.08</v>
      </c>
      <c r="M82" s="1">
        <v>4358.8</v>
      </c>
      <c r="N82" s="1">
        <v>2.2000000000000002</v>
      </c>
      <c r="O82" s="1">
        <v>0.57999999999999996</v>
      </c>
    </row>
    <row r="83" spans="1:15" hidden="1" x14ac:dyDescent="0.3">
      <c r="A83" s="1" t="s">
        <v>59</v>
      </c>
      <c r="B83" s="1" t="s">
        <v>29</v>
      </c>
      <c r="C83" s="1">
        <v>53</v>
      </c>
      <c r="D83" s="1">
        <v>123.3</v>
      </c>
      <c r="E83" s="1">
        <v>35</v>
      </c>
      <c r="F83" s="1">
        <v>0.16300000000000001</v>
      </c>
      <c r="G83" s="1">
        <v>0.71099999999999997</v>
      </c>
      <c r="H83" s="1">
        <v>4.4000000000000004</v>
      </c>
      <c r="I83" s="1">
        <v>7.7</v>
      </c>
      <c r="J83" s="1">
        <v>37.299999999999997</v>
      </c>
      <c r="K83" s="1">
        <v>27.3</v>
      </c>
      <c r="L83" s="1">
        <v>0.03</v>
      </c>
      <c r="M83" s="1">
        <v>2133.4</v>
      </c>
      <c r="N83" s="1">
        <v>2.2000000000000002</v>
      </c>
      <c r="O83" s="1">
        <v>0.32</v>
      </c>
    </row>
    <row r="84" spans="1:15" x14ac:dyDescent="0.3">
      <c r="A84" s="1" t="s">
        <v>52</v>
      </c>
      <c r="B84" s="1" t="s">
        <v>16</v>
      </c>
      <c r="C84" s="1">
        <v>49.5</v>
      </c>
      <c r="D84" s="1">
        <v>128</v>
      </c>
      <c r="E84" s="1">
        <v>90</v>
      </c>
      <c r="F84" s="1">
        <v>0.66100000000000003</v>
      </c>
      <c r="G84" s="1">
        <v>0.65400000000000003</v>
      </c>
      <c r="H84" s="1">
        <v>1.3</v>
      </c>
      <c r="I84" s="1">
        <v>1.2</v>
      </c>
      <c r="J84" s="1">
        <v>36.9</v>
      </c>
      <c r="K84" s="1">
        <v>34.200000000000003</v>
      </c>
      <c r="L84" s="1">
        <v>0.06</v>
      </c>
      <c r="M84" s="1">
        <v>3987.4</v>
      </c>
      <c r="N84" s="1">
        <v>1.85</v>
      </c>
      <c r="O84" s="1">
        <v>0.14000000000000001</v>
      </c>
    </row>
    <row r="85" spans="1:15" x14ac:dyDescent="0.3">
      <c r="A85" s="1" t="s">
        <v>46</v>
      </c>
      <c r="B85" s="1" t="s">
        <v>16</v>
      </c>
      <c r="C85" s="1">
        <v>55.3</v>
      </c>
      <c r="D85" s="1">
        <v>147</v>
      </c>
      <c r="E85" s="1">
        <v>86</v>
      </c>
      <c r="F85" s="1">
        <v>0.161</v>
      </c>
      <c r="G85" s="1">
        <v>0.63300000000000001</v>
      </c>
      <c r="H85" s="1">
        <v>8.1999999999999993</v>
      </c>
      <c r="I85" s="1">
        <v>2.7</v>
      </c>
      <c r="J85" s="1">
        <v>37.299999999999997</v>
      </c>
      <c r="K85" s="1">
        <v>36.6</v>
      </c>
      <c r="L85" s="1">
        <v>0.08</v>
      </c>
      <c r="M85" s="1">
        <v>3352.2</v>
      </c>
      <c r="N85" s="1">
        <v>2.2000000000000002</v>
      </c>
      <c r="O85" s="1">
        <v>0.36</v>
      </c>
    </row>
    <row r="86" spans="1:15" x14ac:dyDescent="0.3">
      <c r="A86" s="1" t="s">
        <v>45</v>
      </c>
      <c r="B86" s="1" t="s">
        <v>22</v>
      </c>
      <c r="C86" s="1">
        <v>51.2</v>
      </c>
      <c r="D86" s="1">
        <v>148</v>
      </c>
      <c r="E86" s="1">
        <v>75</v>
      </c>
      <c r="F86" s="1">
        <v>0.35199999999999998</v>
      </c>
      <c r="G86" s="1">
        <v>0.61299999999999999</v>
      </c>
      <c r="H86" s="1">
        <v>1.7</v>
      </c>
      <c r="I86" s="1">
        <v>2.2999999999999998</v>
      </c>
      <c r="J86" s="1">
        <v>33.4</v>
      </c>
      <c r="K86" s="1">
        <v>37.299999999999997</v>
      </c>
      <c r="L86" s="1">
        <v>0.1</v>
      </c>
      <c r="M86" s="1">
        <v>3251.1</v>
      </c>
      <c r="N86" s="1">
        <v>1.6</v>
      </c>
      <c r="O86" s="1">
        <v>0.6</v>
      </c>
    </row>
    <row r="87" spans="1:15" hidden="1" x14ac:dyDescent="0.3">
      <c r="A87" s="1" t="s">
        <v>24</v>
      </c>
      <c r="B87" s="1" t="s">
        <v>16</v>
      </c>
      <c r="C87" s="1">
        <v>45.7</v>
      </c>
      <c r="D87" s="1">
        <v>145</v>
      </c>
      <c r="E87" s="1">
        <v>111</v>
      </c>
      <c r="F87" s="1">
        <v>0.46600000000000003</v>
      </c>
      <c r="G87" s="1">
        <v>0.75600000000000001</v>
      </c>
      <c r="H87" s="1">
        <v>1.4</v>
      </c>
      <c r="I87" s="1">
        <v>2.2000000000000002</v>
      </c>
      <c r="J87" s="1">
        <v>37.700000000000003</v>
      </c>
      <c r="K87" s="1">
        <v>28.8</v>
      </c>
      <c r="L87" s="1">
        <v>0.09</v>
      </c>
      <c r="M87" s="1">
        <v>3211.2</v>
      </c>
      <c r="N87" s="1">
        <v>1.84</v>
      </c>
      <c r="O87" s="1">
        <v>0.44</v>
      </c>
    </row>
    <row r="88" spans="1:15" x14ac:dyDescent="0.3">
      <c r="A88" s="1" t="s">
        <v>15</v>
      </c>
      <c r="B88" s="1" t="s">
        <v>29</v>
      </c>
      <c r="C88" s="1">
        <v>52.2</v>
      </c>
      <c r="D88" s="1">
        <v>129</v>
      </c>
      <c r="E88" s="1">
        <v>114</v>
      </c>
      <c r="F88" s="1">
        <v>0.44800000000000001</v>
      </c>
      <c r="G88" s="1">
        <v>0.72499999999999998</v>
      </c>
      <c r="H88" s="1">
        <v>1.2</v>
      </c>
      <c r="I88" s="1">
        <v>3.2</v>
      </c>
      <c r="J88" s="1">
        <v>34.299999999999997</v>
      </c>
      <c r="K88" s="1">
        <v>38.4</v>
      </c>
      <c r="L88" s="1">
        <v>0.09</v>
      </c>
      <c r="M88" s="1">
        <v>5372.6</v>
      </c>
      <c r="N88" s="1">
        <v>2.2000000000000002</v>
      </c>
      <c r="O88" s="1">
        <v>0.6</v>
      </c>
    </row>
    <row r="89" spans="1:15" hidden="1" x14ac:dyDescent="0.3">
      <c r="A89" s="1" t="s">
        <v>41</v>
      </c>
      <c r="B89" s="1" t="s">
        <v>16</v>
      </c>
      <c r="C89" s="1">
        <v>55.7</v>
      </c>
      <c r="D89" s="1">
        <v>160</v>
      </c>
      <c r="E89" s="1">
        <v>104</v>
      </c>
      <c r="F89" s="1">
        <v>0.55900000000000005</v>
      </c>
      <c r="G89" s="1">
        <v>0.74099999999999999</v>
      </c>
      <c r="H89" s="1">
        <v>9</v>
      </c>
      <c r="I89" s="1">
        <v>2.2999999999999998</v>
      </c>
      <c r="J89" s="1">
        <v>39.6</v>
      </c>
      <c r="K89" s="1">
        <v>30.2</v>
      </c>
      <c r="L89" s="1">
        <v>0.08</v>
      </c>
      <c r="M89" s="1">
        <v>5536.8</v>
      </c>
      <c r="N89" s="1">
        <v>2.2000000000000002</v>
      </c>
      <c r="O89" s="1">
        <v>0.3</v>
      </c>
    </row>
    <row r="90" spans="1:15" x14ac:dyDescent="0.3">
      <c r="A90" s="1" t="s">
        <v>60</v>
      </c>
      <c r="B90" s="1" t="s">
        <v>22</v>
      </c>
      <c r="C90" s="1">
        <v>49.8</v>
      </c>
      <c r="D90" s="1">
        <v>167</v>
      </c>
      <c r="E90" s="1">
        <v>87</v>
      </c>
      <c r="F90" s="1">
        <v>0.51600000000000001</v>
      </c>
      <c r="G90" s="1">
        <v>0.624</v>
      </c>
      <c r="H90" s="1">
        <v>8.3000000000000007</v>
      </c>
      <c r="I90" s="1">
        <v>1.1000000000000001</v>
      </c>
      <c r="J90" s="1">
        <v>38</v>
      </c>
      <c r="K90" s="1">
        <v>32.6</v>
      </c>
      <c r="L90" s="1">
        <v>0.1</v>
      </c>
      <c r="M90" s="1">
        <v>4536.6000000000004</v>
      </c>
      <c r="N90" s="1">
        <v>2.08</v>
      </c>
      <c r="O90" s="1">
        <v>0.6</v>
      </c>
    </row>
    <row r="91" spans="1:15" x14ac:dyDescent="0.3">
      <c r="A91" s="1" t="s">
        <v>62</v>
      </c>
      <c r="B91" s="1" t="s">
        <v>29</v>
      </c>
      <c r="C91" s="1">
        <v>51</v>
      </c>
      <c r="D91" s="1">
        <v>129</v>
      </c>
      <c r="E91" s="1">
        <v>112</v>
      </c>
      <c r="F91" s="1">
        <v>0.54400000000000004</v>
      </c>
      <c r="G91" s="1">
        <v>0.66900000000000004</v>
      </c>
      <c r="H91" s="1">
        <v>2.2000000000000002</v>
      </c>
      <c r="I91" s="1">
        <v>2.2999999999999998</v>
      </c>
      <c r="J91" s="1">
        <v>37.4</v>
      </c>
      <c r="K91" s="1">
        <v>36.700000000000003</v>
      </c>
      <c r="L91" s="1">
        <v>0.1</v>
      </c>
      <c r="M91" s="1">
        <v>5675.7</v>
      </c>
      <c r="N91" s="1">
        <v>2.06</v>
      </c>
      <c r="O91" s="1">
        <v>0.43</v>
      </c>
    </row>
    <row r="92" spans="1:15" hidden="1" x14ac:dyDescent="0.3">
      <c r="A92" s="1" t="s">
        <v>27</v>
      </c>
      <c r="B92" s="1" t="s">
        <v>29</v>
      </c>
      <c r="C92" s="1">
        <v>47.8</v>
      </c>
      <c r="D92" s="1">
        <v>88</v>
      </c>
      <c r="E92" s="1">
        <v>100</v>
      </c>
      <c r="F92" s="1">
        <v>0.312</v>
      </c>
      <c r="G92" s="1">
        <v>0.72199999999999998</v>
      </c>
      <c r="H92" s="1">
        <v>1.3</v>
      </c>
      <c r="I92" s="1">
        <v>2.2999999999999998</v>
      </c>
      <c r="J92" s="1">
        <v>36.9</v>
      </c>
      <c r="K92" s="1">
        <v>38.6</v>
      </c>
      <c r="L92" s="1">
        <v>0.04</v>
      </c>
      <c r="M92" s="1">
        <v>4356.3</v>
      </c>
      <c r="N92" s="1">
        <v>1.85</v>
      </c>
      <c r="O92" s="1">
        <v>0.78</v>
      </c>
    </row>
    <row r="93" spans="1:15" hidden="1" x14ac:dyDescent="0.3">
      <c r="A93" s="1" t="s">
        <v>48</v>
      </c>
      <c r="B93" s="1" t="s">
        <v>22</v>
      </c>
      <c r="C93" s="1">
        <v>50.4</v>
      </c>
      <c r="D93" s="1">
        <v>156</v>
      </c>
      <c r="E93" s="1">
        <v>184</v>
      </c>
      <c r="F93" s="1">
        <v>0.57899999999999996</v>
      </c>
      <c r="G93" s="1">
        <v>0.48299999999999998</v>
      </c>
      <c r="H93" s="1">
        <v>4.2</v>
      </c>
      <c r="I93" s="1">
        <v>1.3</v>
      </c>
      <c r="J93" s="1">
        <v>31.9</v>
      </c>
      <c r="K93" s="1">
        <v>36.799999999999997</v>
      </c>
      <c r="L93" s="1">
        <v>0.08</v>
      </c>
      <c r="M93" s="1">
        <v>5983.9</v>
      </c>
      <c r="N93" s="1">
        <v>2.2000000000000002</v>
      </c>
      <c r="O93" s="1">
        <v>0.78</v>
      </c>
    </row>
    <row r="94" spans="1:15" hidden="1" x14ac:dyDescent="0.3">
      <c r="A94" s="1" t="s">
        <v>59</v>
      </c>
      <c r="B94" s="1" t="s">
        <v>16</v>
      </c>
      <c r="C94" s="1">
        <v>51.2</v>
      </c>
      <c r="D94" s="1">
        <v>125</v>
      </c>
      <c r="E94" s="1">
        <v>32</v>
      </c>
      <c r="F94" s="1">
        <v>0.16600000000000001</v>
      </c>
      <c r="G94" s="1">
        <v>0.73199999999999998</v>
      </c>
      <c r="H94" s="1">
        <v>4.2</v>
      </c>
      <c r="I94" s="1">
        <v>7.3</v>
      </c>
      <c r="J94" s="1">
        <v>34.799999999999997</v>
      </c>
      <c r="K94" s="1">
        <v>28.2</v>
      </c>
      <c r="L94" s="1">
        <v>0.04</v>
      </c>
      <c r="M94" s="1">
        <v>2208.3000000000002</v>
      </c>
      <c r="N94" s="1">
        <v>2.1</v>
      </c>
      <c r="O94" s="1">
        <v>0.31</v>
      </c>
    </row>
    <row r="95" spans="1:15" x14ac:dyDescent="0.3">
      <c r="A95" s="1" t="s">
        <v>19</v>
      </c>
      <c r="B95" s="1" t="s">
        <v>22</v>
      </c>
      <c r="C95" s="1">
        <v>50.4</v>
      </c>
      <c r="D95" s="1">
        <v>148.19999999999999</v>
      </c>
      <c r="E95" s="1">
        <v>85</v>
      </c>
      <c r="F95" s="1">
        <v>0.48</v>
      </c>
      <c r="G95" s="1">
        <v>0.625</v>
      </c>
      <c r="H95" s="1">
        <v>1.5</v>
      </c>
      <c r="I95" s="1">
        <v>1.7</v>
      </c>
      <c r="J95" s="1">
        <v>35.299999999999997</v>
      </c>
      <c r="K95" s="1">
        <v>33.5</v>
      </c>
      <c r="L95" s="1">
        <v>0.09</v>
      </c>
      <c r="M95" s="1">
        <v>4269.8</v>
      </c>
      <c r="N95" s="1">
        <v>2.2000000000000002</v>
      </c>
      <c r="O95" s="1">
        <v>0.12</v>
      </c>
    </row>
    <row r="96" spans="1:15" x14ac:dyDescent="0.3">
      <c r="A96" s="1" t="s">
        <v>57</v>
      </c>
      <c r="B96" s="1" t="s">
        <v>16</v>
      </c>
      <c r="C96" s="1">
        <v>50.3</v>
      </c>
      <c r="D96" s="1">
        <v>144.69999999999999</v>
      </c>
      <c r="E96" s="1">
        <v>137</v>
      </c>
      <c r="F96" s="1">
        <v>0.42299999999999999</v>
      </c>
      <c r="G96" s="1">
        <v>0.72199999999999998</v>
      </c>
      <c r="H96" s="1">
        <v>1.6</v>
      </c>
      <c r="I96" s="1">
        <v>2.2000000000000002</v>
      </c>
      <c r="J96" s="1">
        <v>33.6</v>
      </c>
      <c r="K96" s="1">
        <v>37.200000000000003</v>
      </c>
      <c r="L96" s="1">
        <v>7.0000000000000007E-2</v>
      </c>
      <c r="M96" s="1">
        <v>5214.5</v>
      </c>
      <c r="N96" s="1">
        <v>1.86</v>
      </c>
      <c r="O96" s="1">
        <v>0.7</v>
      </c>
    </row>
    <row r="97" spans="1:15" x14ac:dyDescent="0.3">
      <c r="A97" s="1" t="s">
        <v>62</v>
      </c>
      <c r="B97" s="1" t="s">
        <v>22</v>
      </c>
      <c r="C97" s="1">
        <v>50</v>
      </c>
      <c r="D97" s="1">
        <v>128</v>
      </c>
      <c r="E97" s="1">
        <v>128</v>
      </c>
      <c r="F97" s="1">
        <v>0.55400000000000005</v>
      </c>
      <c r="G97" s="1">
        <v>0.68300000000000005</v>
      </c>
      <c r="H97" s="1">
        <v>2.6</v>
      </c>
      <c r="I97" s="1">
        <v>2.1</v>
      </c>
      <c r="J97" s="1">
        <v>38.4</v>
      </c>
      <c r="K97" s="1">
        <v>35.299999999999997</v>
      </c>
      <c r="L97" s="1">
        <v>0.09</v>
      </c>
      <c r="M97" s="1">
        <v>5871.8</v>
      </c>
      <c r="N97" s="1">
        <v>2.2000000000000002</v>
      </c>
      <c r="O97" s="1">
        <v>0.42</v>
      </c>
    </row>
    <row r="98" spans="1:15" hidden="1" x14ac:dyDescent="0.3">
      <c r="A98" s="1" t="s">
        <v>17</v>
      </c>
      <c r="B98" s="1" t="s">
        <v>29</v>
      </c>
      <c r="C98" s="1">
        <v>45.3</v>
      </c>
      <c r="D98" s="1">
        <v>131.4</v>
      </c>
      <c r="E98" s="1">
        <v>81</v>
      </c>
      <c r="F98" s="1">
        <v>0.35399999999999998</v>
      </c>
      <c r="G98" s="1">
        <v>0.66400000000000003</v>
      </c>
      <c r="H98" s="1">
        <v>7</v>
      </c>
      <c r="I98" s="1">
        <v>2.4</v>
      </c>
      <c r="J98" s="1">
        <v>33.5</v>
      </c>
      <c r="K98" s="1">
        <v>33.200000000000003</v>
      </c>
      <c r="L98" s="1">
        <v>0.1</v>
      </c>
      <c r="M98" s="1">
        <v>2127.5</v>
      </c>
      <c r="N98" s="1">
        <v>1.7</v>
      </c>
      <c r="O98" s="1">
        <v>0.14000000000000001</v>
      </c>
    </row>
    <row r="99" spans="1:15" hidden="1" x14ac:dyDescent="0.3">
      <c r="A99" s="1" t="s">
        <v>61</v>
      </c>
      <c r="B99" s="1" t="s">
        <v>16</v>
      </c>
      <c r="C99" s="1">
        <v>53.2</v>
      </c>
      <c r="D99" s="1">
        <v>163</v>
      </c>
      <c r="E99" s="1">
        <v>236</v>
      </c>
      <c r="F99" s="1">
        <v>0.24199999999999999</v>
      </c>
      <c r="G99" s="1">
        <v>0.45500000000000002</v>
      </c>
      <c r="H99" s="1">
        <v>2.1</v>
      </c>
      <c r="I99" s="1">
        <v>3.1</v>
      </c>
      <c r="J99" s="1">
        <v>33.5</v>
      </c>
      <c r="K99" s="1">
        <v>40.4</v>
      </c>
      <c r="L99" s="1">
        <v>0.1</v>
      </c>
      <c r="M99" s="1">
        <v>7424.8</v>
      </c>
      <c r="N99" s="1">
        <v>2.2000000000000002</v>
      </c>
      <c r="O99" s="1">
        <v>0.42</v>
      </c>
    </row>
    <row r="100" spans="1:15" hidden="1" x14ac:dyDescent="0.3">
      <c r="A100" s="1" t="s">
        <v>17</v>
      </c>
      <c r="B100" s="1" t="s">
        <v>22</v>
      </c>
      <c r="C100" s="1">
        <v>43.2</v>
      </c>
      <c r="D100" s="1">
        <v>130.4</v>
      </c>
      <c r="E100" s="1">
        <v>79</v>
      </c>
      <c r="F100" s="1">
        <v>0.39700000000000002</v>
      </c>
      <c r="G100" s="1">
        <v>0.68700000000000006</v>
      </c>
      <c r="H100" s="1">
        <v>7.2</v>
      </c>
      <c r="I100" s="1">
        <v>2.1</v>
      </c>
      <c r="J100" s="1">
        <v>33.799999999999997</v>
      </c>
      <c r="K100" s="1">
        <v>30.6</v>
      </c>
      <c r="L100" s="1">
        <v>0.1</v>
      </c>
      <c r="M100" s="1">
        <v>2389.3000000000002</v>
      </c>
      <c r="N100" s="1">
        <v>1.65</v>
      </c>
      <c r="O100" s="1">
        <v>0.12</v>
      </c>
    </row>
    <row r="101" spans="1:15" hidden="1" x14ac:dyDescent="0.3">
      <c r="A101" s="1" t="s">
        <v>61</v>
      </c>
      <c r="B101" s="1" t="s">
        <v>22</v>
      </c>
      <c r="C101" s="1">
        <v>54.2</v>
      </c>
      <c r="D101" s="1">
        <v>165</v>
      </c>
      <c r="E101" s="1">
        <v>235</v>
      </c>
      <c r="F101" s="1">
        <v>0.248</v>
      </c>
      <c r="G101" s="1">
        <v>0.48599999999999999</v>
      </c>
      <c r="H101" s="1">
        <v>2.2000000000000002</v>
      </c>
      <c r="I101" s="1">
        <v>3.2</v>
      </c>
      <c r="J101" s="1">
        <v>33.6</v>
      </c>
      <c r="K101" s="1">
        <v>41.4</v>
      </c>
      <c r="L101" s="1">
        <v>0.1</v>
      </c>
      <c r="M101" s="1">
        <v>7841.5</v>
      </c>
      <c r="N101" s="1">
        <v>2.4</v>
      </c>
      <c r="O101" s="1">
        <v>0.6</v>
      </c>
    </row>
    <row r="102" spans="1:15" hidden="1" x14ac:dyDescent="0.3">
      <c r="A102" s="1" t="s">
        <v>50</v>
      </c>
      <c r="B102" s="1" t="s">
        <v>16</v>
      </c>
      <c r="C102" s="1">
        <v>45.6</v>
      </c>
      <c r="D102" s="1">
        <v>158</v>
      </c>
      <c r="E102" s="1">
        <v>95</v>
      </c>
      <c r="F102" s="1">
        <v>0.52300000000000002</v>
      </c>
      <c r="G102" s="1">
        <v>0.65700000000000003</v>
      </c>
      <c r="H102" s="1">
        <v>6</v>
      </c>
      <c r="I102" s="1">
        <v>1.1000000000000001</v>
      </c>
      <c r="J102" s="1">
        <v>38</v>
      </c>
      <c r="K102" s="1">
        <v>45.3</v>
      </c>
      <c r="L102" s="1">
        <v>0.1</v>
      </c>
      <c r="M102" s="1">
        <v>4189.8</v>
      </c>
      <c r="N102" s="1">
        <v>2.0499999999999998</v>
      </c>
      <c r="O102" s="1">
        <v>1.1200000000000001</v>
      </c>
    </row>
    <row r="103" spans="1:15" hidden="1" x14ac:dyDescent="0.3">
      <c r="A103" s="1" t="s">
        <v>21</v>
      </c>
      <c r="B103" s="1" t="s">
        <v>29</v>
      </c>
      <c r="C103" s="1">
        <v>50</v>
      </c>
      <c r="D103" s="1">
        <v>75</v>
      </c>
      <c r="E103" s="1">
        <v>88</v>
      </c>
      <c r="F103" s="1">
        <v>0.754</v>
      </c>
      <c r="G103" s="1">
        <v>0.74199999999999999</v>
      </c>
      <c r="H103" s="1">
        <v>7.2</v>
      </c>
      <c r="I103" s="1">
        <v>2.2000000000000002</v>
      </c>
      <c r="J103" s="1">
        <v>39.5</v>
      </c>
      <c r="K103" s="1">
        <v>33.1</v>
      </c>
      <c r="L103" s="1">
        <v>0.09</v>
      </c>
      <c r="M103" s="1">
        <v>3428.7</v>
      </c>
      <c r="N103" s="1">
        <v>2.2000000000000002</v>
      </c>
      <c r="O103" s="1">
        <v>0.6</v>
      </c>
    </row>
    <row r="104" spans="1:15" x14ac:dyDescent="0.3">
      <c r="A104" s="1" t="s">
        <v>54</v>
      </c>
      <c r="B104" s="1" t="s">
        <v>22</v>
      </c>
      <c r="C104" s="1">
        <v>51.6</v>
      </c>
      <c r="D104" s="1">
        <v>159.69999999999999</v>
      </c>
      <c r="E104" s="1">
        <v>97</v>
      </c>
      <c r="F104" s="1">
        <v>0.23</v>
      </c>
      <c r="G104" s="1">
        <v>0.752</v>
      </c>
      <c r="H104" s="1">
        <v>4.2</v>
      </c>
      <c r="I104" s="1">
        <v>2.2999999999999998</v>
      </c>
      <c r="J104" s="1">
        <v>36.6</v>
      </c>
      <c r="K104" s="1">
        <v>28.4</v>
      </c>
      <c r="L104" s="1">
        <v>0.03</v>
      </c>
      <c r="M104" s="1">
        <v>4197.5</v>
      </c>
      <c r="N104" s="1">
        <v>1.8</v>
      </c>
      <c r="O104" s="1">
        <v>0.6</v>
      </c>
    </row>
    <row r="105" spans="1:15" hidden="1" x14ac:dyDescent="0.3">
      <c r="A105" s="1" t="s">
        <v>56</v>
      </c>
      <c r="B105" s="1" t="s">
        <v>29</v>
      </c>
      <c r="C105" s="1">
        <v>44</v>
      </c>
      <c r="D105" s="1">
        <v>209</v>
      </c>
      <c r="E105" s="1">
        <v>132</v>
      </c>
      <c r="F105" s="1">
        <v>0.66300000000000003</v>
      </c>
      <c r="G105" s="1">
        <v>0.875</v>
      </c>
      <c r="H105" s="1">
        <v>9</v>
      </c>
      <c r="I105" s="1">
        <v>1.3</v>
      </c>
      <c r="J105" s="1">
        <v>39.700000000000003</v>
      </c>
      <c r="K105" s="1">
        <v>31.2</v>
      </c>
      <c r="L105" s="1">
        <v>0.06</v>
      </c>
      <c r="M105" s="1">
        <v>4472.7</v>
      </c>
      <c r="N105" s="1">
        <v>2.6</v>
      </c>
      <c r="O105" s="1">
        <v>0.32</v>
      </c>
    </row>
    <row r="106" spans="1:15" x14ac:dyDescent="0.3">
      <c r="A106" s="1" t="s">
        <v>44</v>
      </c>
      <c r="B106" s="1" t="s">
        <v>22</v>
      </c>
      <c r="C106" s="1">
        <v>53.3</v>
      </c>
      <c r="D106" s="1">
        <v>160</v>
      </c>
      <c r="E106" s="1">
        <v>130</v>
      </c>
      <c r="F106" s="1">
        <v>0.16500000000000001</v>
      </c>
      <c r="G106" s="1">
        <v>0.65100000000000002</v>
      </c>
      <c r="H106" s="1">
        <v>1.8</v>
      </c>
      <c r="I106" s="1">
        <v>3.2</v>
      </c>
      <c r="J106" s="1">
        <v>33.6</v>
      </c>
      <c r="K106" s="1">
        <v>34.5</v>
      </c>
      <c r="L106" s="1">
        <v>0.1</v>
      </c>
      <c r="M106" s="1">
        <v>5643.7</v>
      </c>
      <c r="N106" s="1">
        <v>2.6</v>
      </c>
      <c r="O106" s="1">
        <v>0.36</v>
      </c>
    </row>
    <row r="107" spans="1:15" hidden="1" x14ac:dyDescent="0.3">
      <c r="A107" s="1" t="s">
        <v>58</v>
      </c>
      <c r="B107" s="1" t="s">
        <v>22</v>
      </c>
      <c r="C107" s="1">
        <v>50.2</v>
      </c>
      <c r="D107" s="1">
        <v>148.30000000000001</v>
      </c>
      <c r="E107" s="1">
        <v>151</v>
      </c>
      <c r="F107" s="1">
        <v>1.115</v>
      </c>
      <c r="G107" s="1">
        <v>0.68300000000000005</v>
      </c>
      <c r="H107" s="1">
        <v>6.1</v>
      </c>
      <c r="I107" s="1">
        <v>1.2</v>
      </c>
      <c r="J107" s="1">
        <v>37.200000000000003</v>
      </c>
      <c r="K107" s="1">
        <v>37.200000000000003</v>
      </c>
      <c r="L107" s="1">
        <v>0.1</v>
      </c>
      <c r="M107" s="1">
        <v>3067.1</v>
      </c>
      <c r="N107" s="1">
        <v>1.8</v>
      </c>
      <c r="O107" s="1">
        <v>1.1499999999999999</v>
      </c>
    </row>
    <row r="108" spans="1:15" x14ac:dyDescent="0.3">
      <c r="A108" s="1" t="s">
        <v>26</v>
      </c>
      <c r="B108" s="1" t="s">
        <v>16</v>
      </c>
      <c r="C108" s="1">
        <v>52.2</v>
      </c>
      <c r="D108" s="1">
        <v>156</v>
      </c>
      <c r="E108" s="1">
        <v>66</v>
      </c>
      <c r="F108" s="1">
        <v>0.29499999999999998</v>
      </c>
      <c r="G108" s="1">
        <v>0.63200000000000001</v>
      </c>
      <c r="H108" s="1">
        <v>6.9</v>
      </c>
      <c r="I108" s="1">
        <v>1.1000000000000001</v>
      </c>
      <c r="J108" s="1">
        <v>32.299999999999997</v>
      </c>
      <c r="K108" s="1">
        <v>35.299999999999997</v>
      </c>
      <c r="L108" s="1">
        <v>0.09</v>
      </c>
      <c r="M108" s="1">
        <v>3112.2</v>
      </c>
      <c r="N108" s="1">
        <v>2.1</v>
      </c>
      <c r="O108" s="1">
        <v>0.17</v>
      </c>
    </row>
    <row r="109" spans="1:15" hidden="1" x14ac:dyDescent="0.3">
      <c r="A109" s="1" t="s">
        <v>24</v>
      </c>
      <c r="B109" s="1" t="s">
        <v>29</v>
      </c>
      <c r="C109" s="1">
        <v>46.6</v>
      </c>
      <c r="D109" s="1">
        <v>146</v>
      </c>
      <c r="E109" s="1">
        <v>112</v>
      </c>
      <c r="F109" s="1">
        <v>0.45</v>
      </c>
      <c r="G109" s="1">
        <v>0.749</v>
      </c>
      <c r="H109" s="1">
        <v>1.6</v>
      </c>
      <c r="I109" s="1">
        <v>2</v>
      </c>
      <c r="J109" s="1">
        <v>36.6</v>
      </c>
      <c r="K109" s="1">
        <v>32.200000000000003</v>
      </c>
      <c r="L109" s="1">
        <v>7.0000000000000007E-2</v>
      </c>
      <c r="M109" s="1">
        <v>3116.3</v>
      </c>
      <c r="N109" s="1">
        <v>1.9</v>
      </c>
      <c r="O109" s="1">
        <v>0.42</v>
      </c>
    </row>
  </sheetData>
  <autoFilter ref="A1:O109" xr:uid="{00000000-0001-0000-0000-000000000000}">
    <filterColumn colId="2">
      <filters>
        <filter val="47"/>
        <filter val="47.3"/>
        <filter val="47.4"/>
        <filter val="47.7"/>
        <filter val="47.8"/>
        <filter val="48.2"/>
        <filter val="48.3"/>
        <filter val="49"/>
        <filter val="49.2"/>
        <filter val="49.3"/>
        <filter val="49.5"/>
        <filter val="49.7"/>
        <filter val="49.8"/>
        <filter val="50"/>
        <filter val="50.2"/>
        <filter val="50.3"/>
        <filter val="50.4"/>
        <filter val="50.5"/>
        <filter val="50.6"/>
        <filter val="50.7"/>
        <filter val="51"/>
        <filter val="51.2"/>
        <filter val="51.3"/>
        <filter val="51.4"/>
        <filter val="51.6"/>
        <filter val="52"/>
        <filter val="52.1"/>
        <filter val="52.2"/>
        <filter val="52.3"/>
        <filter val="52.4"/>
        <filter val="52.6"/>
        <filter val="52.7"/>
        <filter val="52.8"/>
        <filter val="53"/>
        <filter val="53.2"/>
        <filter val="53.3"/>
        <filter val="53.4"/>
        <filter val="54.2"/>
        <filter val="54.3"/>
        <filter val="55.2"/>
        <filter val="55.3"/>
      </filters>
    </filterColumn>
    <filterColumn colId="3">
      <filters>
        <filter val="123.3"/>
        <filter val="124.3"/>
        <filter val="125"/>
        <filter val="127"/>
        <filter val="127.5"/>
        <filter val="128"/>
        <filter val="128.6"/>
        <filter val="128.9"/>
        <filter val="129"/>
        <filter val="129.8"/>
        <filter val="130"/>
        <filter val="130.3"/>
        <filter val="132"/>
        <filter val="132.7"/>
        <filter val="134"/>
        <filter val="135"/>
        <filter val="135.9"/>
        <filter val="136"/>
        <filter val="136.2"/>
        <filter val="137.3"/>
        <filter val="137.7"/>
        <filter val="138"/>
        <filter val="140.8"/>
        <filter val="141"/>
        <filter val="141.2"/>
        <filter val="142"/>
        <filter val="143"/>
        <filter val="144.7"/>
        <filter val="145"/>
        <filter val="146"/>
        <filter val="147"/>
        <filter val="147.8"/>
        <filter val="148"/>
        <filter val="148.2"/>
        <filter val="148.3"/>
        <filter val="149"/>
        <filter val="150"/>
        <filter val="150.5"/>
        <filter val="152"/>
        <filter val="154"/>
        <filter val="155"/>
        <filter val="156"/>
        <filter val="157"/>
        <filter val="157.7"/>
        <filter val="158"/>
        <filter val="158.3"/>
        <filter val="159"/>
        <filter val="159.7"/>
        <filter val="160"/>
        <filter val="161"/>
        <filter val="162"/>
        <filter val="162.6"/>
        <filter val="163"/>
        <filter val="163.5"/>
        <filter val="164"/>
        <filter val="165"/>
        <filter val="166.3"/>
        <filter val="167"/>
        <filter val="174"/>
        <filter val="175.6"/>
      </filters>
    </filterColumn>
    <filterColumn colId="4">
      <filters>
        <filter val="100"/>
        <filter val="102"/>
        <filter val="111"/>
        <filter val="112"/>
        <filter val="113"/>
        <filter val="114"/>
        <filter val="120"/>
        <filter val="122"/>
        <filter val="123"/>
        <filter val="124"/>
        <filter val="126"/>
        <filter val="127"/>
        <filter val="128"/>
        <filter val="129"/>
        <filter val="130"/>
        <filter val="131"/>
        <filter val="134"/>
        <filter val="135"/>
        <filter val="136"/>
        <filter val="137"/>
        <filter val="138"/>
        <filter val="59"/>
        <filter val="63"/>
        <filter val="65"/>
        <filter val="66"/>
        <filter val="68"/>
        <filter val="69"/>
        <filter val="70"/>
        <filter val="71"/>
        <filter val="72"/>
        <filter val="73"/>
        <filter val="75"/>
        <filter val="77"/>
        <filter val="78"/>
        <filter val="81"/>
        <filter val="83"/>
        <filter val="84"/>
        <filter val="85"/>
        <filter val="86"/>
        <filter val="87"/>
        <filter val="88"/>
        <filter val="90"/>
        <filter val="92"/>
        <filter val="93"/>
        <filter val="97"/>
        <filter val="98"/>
        <filter val="99"/>
      </filters>
    </filterColumn>
    <filterColumn colId="6">
      <filters>
        <filter val="0.598"/>
        <filter val="0.601"/>
        <filter val="0.611"/>
        <filter val="0.612"/>
        <filter val="0.613"/>
        <filter val="0.615"/>
        <filter val="0.618"/>
        <filter val="0.621"/>
        <filter val="0.622"/>
        <filter val="0.623"/>
        <filter val="0.624"/>
        <filter val="0.625"/>
        <filter val="0.626"/>
        <filter val="0.629"/>
        <filter val="0.632"/>
        <filter val="0.633"/>
        <filter val="0.639"/>
        <filter val="0.64"/>
        <filter val="0.651"/>
        <filter val="0.654"/>
        <filter val="0.66"/>
        <filter val="0.662"/>
        <filter val="0.663"/>
        <filter val="0.669"/>
        <filter val="0.672"/>
        <filter val="0.673"/>
        <filter val="0.674"/>
        <filter val="0.676"/>
        <filter val="0.677"/>
        <filter val="0.683"/>
        <filter val="0.685"/>
        <filter val="0.688"/>
        <filter val="0.692"/>
        <filter val="0.698"/>
        <filter val="0.706"/>
        <filter val="0.71"/>
        <filter val="0.711"/>
        <filter val="0.712"/>
        <filter val="0.713"/>
        <filter val="0.716"/>
        <filter val="0.72"/>
        <filter val="0.721"/>
        <filter val="0.722"/>
        <filter val="0.723"/>
        <filter val="0.725"/>
        <filter val="0.73"/>
        <filter val="0.732"/>
        <filter val="0.733"/>
        <filter val="0.739"/>
        <filter val="0.745"/>
        <filter val="0.752"/>
        <filter val="0.753"/>
        <filter val="0.762"/>
        <filter val="0.765"/>
        <filter val="0.774"/>
        <filter val="0.811"/>
        <filter val="0.825"/>
        <filter val="0.826"/>
      </filters>
    </filterColumn>
    <filterColumn colId="8">
      <filters>
        <filter val="1.1"/>
        <filter val="1.2"/>
        <filter val="1.3"/>
        <filter val="1.5"/>
        <filter val="1.7"/>
        <filter val="1.9"/>
        <filter val="2"/>
        <filter val="2.1"/>
        <filter val="2.2"/>
        <filter val="2.3"/>
        <filter val="2.6"/>
        <filter val="2.7"/>
        <filter val="2.8"/>
        <filter val="2.9"/>
        <filter val="3"/>
        <filter val="3.1"/>
        <filter val="3.2"/>
        <filter val="3.3"/>
        <filter val="3.4"/>
        <filter val="3.5"/>
        <filter val="3.6"/>
      </filters>
    </filterColumn>
    <filterColumn colId="10">
      <filters>
        <filter val="27.4"/>
        <filter val="28.4"/>
        <filter val="28.9"/>
        <filter val="29.2"/>
        <filter val="29.6"/>
        <filter val="29.9"/>
        <filter val="30.3"/>
        <filter val="30.6"/>
        <filter val="31.1"/>
        <filter val="31.2"/>
        <filter val="31.6"/>
        <filter val="31.8"/>
        <filter val="32.1"/>
        <filter val="32.2"/>
        <filter val="32.6"/>
        <filter val="33.2"/>
        <filter val="33.3"/>
        <filter val="33.4"/>
        <filter val="33.5"/>
        <filter val="33.6"/>
        <filter val="33.9"/>
        <filter val="34.2"/>
        <filter val="34.3"/>
        <filter val="34.5"/>
        <filter val="34.7"/>
        <filter val="35.2"/>
        <filter val="35.3"/>
        <filter val="35.4"/>
        <filter val="36.1"/>
        <filter val="36.4"/>
        <filter val="36.6"/>
        <filter val="36.7"/>
        <filter val="37.1"/>
        <filter val="37.2"/>
        <filter val="37.3"/>
        <filter val="37.6"/>
        <filter val="37.7"/>
        <filter val="38.1"/>
        <filter val="38.4"/>
        <filter val="39.7"/>
      </filters>
    </filterColumn>
    <filterColumn colId="14">
      <filters>
        <filter val="0.12"/>
        <filter val="0.14"/>
        <filter val="0.15"/>
        <filter val="0.16"/>
        <filter val="0.17"/>
        <filter val="0.18"/>
        <filter val="0.23"/>
        <filter val="0.3"/>
        <filter val="0.32"/>
        <filter val="0.33"/>
        <filter val="0.36"/>
        <filter val="0.4"/>
        <filter val="0.42"/>
        <filter val="0.43"/>
        <filter val="0.44"/>
        <filter val="0.48"/>
        <filter val="0.5"/>
        <filter val="0.58"/>
        <filter val="0.6"/>
        <filter val="0.7"/>
        <filter val="0.78"/>
        <filter val="0.82"/>
        <filter val="0.83"/>
        <filter val="0.84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57A1-021B-4182-BCCF-E7E59B341368}">
  <dimension ref="A1:Z58"/>
  <sheetViews>
    <sheetView tabSelected="1" topLeftCell="G1" zoomScale="96" workbookViewId="0">
      <selection activeCell="L1" sqref="L1"/>
    </sheetView>
  </sheetViews>
  <sheetFormatPr defaultRowHeight="15.05" x14ac:dyDescent="0.3"/>
  <cols>
    <col min="1" max="1" width="10.44140625" bestFit="1" customWidth="1"/>
    <col min="18" max="18" width="33.88671875" bestFit="1" customWidth="1"/>
  </cols>
  <sheetData>
    <row r="1" spans="1:26" x14ac:dyDescent="0.3">
      <c r="A1" t="s">
        <v>0</v>
      </c>
      <c r="B1" t="s">
        <v>1</v>
      </c>
      <c r="C1" s="14" t="s">
        <v>2</v>
      </c>
      <c r="D1" s="17" t="s">
        <v>3</v>
      </c>
      <c r="E1" s="17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7" t="s">
        <v>11</v>
      </c>
      <c r="M1" t="s">
        <v>12</v>
      </c>
      <c r="N1" t="s">
        <v>13</v>
      </c>
      <c r="O1" t="s">
        <v>14</v>
      </c>
      <c r="R1" s="2" t="s">
        <v>18</v>
      </c>
    </row>
    <row r="2" spans="1:26" x14ac:dyDescent="0.3">
      <c r="A2" t="s">
        <v>15</v>
      </c>
      <c r="B2" t="s">
        <v>16</v>
      </c>
      <c r="C2">
        <v>50.5</v>
      </c>
      <c r="D2">
        <v>130.30000000000001</v>
      </c>
      <c r="E2">
        <v>111</v>
      </c>
      <c r="F2">
        <v>0.433</v>
      </c>
      <c r="G2">
        <v>0.73199999999999998</v>
      </c>
      <c r="H2">
        <v>1.4</v>
      </c>
      <c r="I2">
        <v>3.1</v>
      </c>
      <c r="J2">
        <v>33.200000000000003</v>
      </c>
      <c r="K2">
        <v>33.6</v>
      </c>
      <c r="L2">
        <v>0.08</v>
      </c>
      <c r="M2">
        <v>5567.4</v>
      </c>
      <c r="N2">
        <v>1.86</v>
      </c>
      <c r="O2">
        <v>0.82</v>
      </c>
    </row>
    <row r="3" spans="1:26" x14ac:dyDescent="0.3">
      <c r="A3" t="s">
        <v>19</v>
      </c>
      <c r="B3" t="s">
        <v>16</v>
      </c>
      <c r="C3">
        <v>52.2</v>
      </c>
      <c r="D3">
        <v>150</v>
      </c>
      <c r="E3">
        <v>83</v>
      </c>
      <c r="F3">
        <v>0.49</v>
      </c>
      <c r="G3">
        <v>0.67700000000000005</v>
      </c>
      <c r="H3">
        <v>1.8</v>
      </c>
      <c r="I3">
        <v>1.3</v>
      </c>
      <c r="J3">
        <v>33.6</v>
      </c>
      <c r="K3">
        <v>35.200000000000003</v>
      </c>
      <c r="L3">
        <v>7.0000000000000007E-2</v>
      </c>
      <c r="M3">
        <v>4326.7</v>
      </c>
      <c r="N3">
        <v>2.04</v>
      </c>
      <c r="O3">
        <v>0.15</v>
      </c>
    </row>
    <row r="4" spans="1:26" x14ac:dyDescent="0.3">
      <c r="A4" t="s">
        <v>21</v>
      </c>
      <c r="B4" t="s">
        <v>22</v>
      </c>
      <c r="C4">
        <v>49.2</v>
      </c>
      <c r="D4">
        <v>175.6</v>
      </c>
      <c r="E4">
        <v>73</v>
      </c>
      <c r="F4">
        <v>0.79500000000000004</v>
      </c>
      <c r="G4">
        <v>0.72499999999999998</v>
      </c>
      <c r="H4">
        <v>7.5</v>
      </c>
      <c r="I4">
        <v>2.1</v>
      </c>
      <c r="J4">
        <v>39.6</v>
      </c>
      <c r="K4">
        <v>31.2</v>
      </c>
      <c r="L4">
        <v>0.1</v>
      </c>
      <c r="M4">
        <v>3897.8</v>
      </c>
      <c r="N4">
        <v>1.88</v>
      </c>
      <c r="O4">
        <v>0.6</v>
      </c>
    </row>
    <row r="5" spans="1:26" x14ac:dyDescent="0.3">
      <c r="A5" t="s">
        <v>26</v>
      </c>
      <c r="B5" t="s">
        <v>22</v>
      </c>
      <c r="C5">
        <v>49.3</v>
      </c>
      <c r="D5">
        <v>155</v>
      </c>
      <c r="E5">
        <v>68</v>
      </c>
      <c r="F5">
        <v>0.29799999999999999</v>
      </c>
      <c r="G5">
        <v>0.67200000000000004</v>
      </c>
      <c r="H5">
        <v>7.2</v>
      </c>
      <c r="I5">
        <v>1.2</v>
      </c>
      <c r="J5">
        <v>31.1</v>
      </c>
      <c r="K5">
        <v>38.1</v>
      </c>
      <c r="L5">
        <v>0.06</v>
      </c>
      <c r="M5">
        <v>3104.6</v>
      </c>
      <c r="N5">
        <v>1.8</v>
      </c>
      <c r="O5">
        <v>0.18</v>
      </c>
    </row>
    <row r="6" spans="1:26" x14ac:dyDescent="0.3">
      <c r="A6" t="s">
        <v>31</v>
      </c>
      <c r="B6" t="s">
        <v>29</v>
      </c>
      <c r="C6">
        <v>50.2</v>
      </c>
      <c r="D6">
        <v>129</v>
      </c>
      <c r="E6">
        <v>127</v>
      </c>
      <c r="F6">
        <v>0.317</v>
      </c>
      <c r="G6">
        <v>0.629</v>
      </c>
      <c r="H6">
        <v>10</v>
      </c>
      <c r="I6">
        <v>2.6</v>
      </c>
      <c r="J6">
        <v>38.1</v>
      </c>
      <c r="K6">
        <v>34.5</v>
      </c>
      <c r="L6">
        <v>0.05</v>
      </c>
      <c r="M6">
        <v>5205.8</v>
      </c>
      <c r="N6">
        <v>2.6</v>
      </c>
      <c r="O6">
        <v>0.32</v>
      </c>
    </row>
    <row r="7" spans="1:26" x14ac:dyDescent="0.3">
      <c r="A7" t="s">
        <v>33</v>
      </c>
      <c r="B7" t="s">
        <v>29</v>
      </c>
      <c r="C7">
        <v>52.2</v>
      </c>
      <c r="D7">
        <v>147</v>
      </c>
      <c r="E7">
        <v>122</v>
      </c>
      <c r="F7">
        <v>0.55300000000000005</v>
      </c>
      <c r="G7">
        <v>0.622</v>
      </c>
      <c r="H7">
        <v>2.2000000000000002</v>
      </c>
      <c r="I7">
        <v>3</v>
      </c>
      <c r="J7">
        <v>33.799999999999997</v>
      </c>
      <c r="K7">
        <v>32.200000000000003</v>
      </c>
      <c r="L7">
        <v>0.06</v>
      </c>
      <c r="M7">
        <v>4486.7</v>
      </c>
      <c r="N7">
        <v>1.9</v>
      </c>
      <c r="O7">
        <v>0.7</v>
      </c>
    </row>
    <row r="8" spans="1:26" x14ac:dyDescent="0.3">
      <c r="A8" t="s">
        <v>41</v>
      </c>
      <c r="B8" t="s">
        <v>22</v>
      </c>
      <c r="C8">
        <v>54.3</v>
      </c>
      <c r="D8">
        <v>159</v>
      </c>
      <c r="E8">
        <v>102</v>
      </c>
      <c r="F8">
        <v>0.61299999999999999</v>
      </c>
      <c r="G8">
        <v>0.71</v>
      </c>
      <c r="H8">
        <v>9.1999999999999993</v>
      </c>
      <c r="I8">
        <v>2.1</v>
      </c>
      <c r="J8">
        <v>39.1</v>
      </c>
      <c r="K8">
        <v>29.9</v>
      </c>
      <c r="L8">
        <v>0.06</v>
      </c>
      <c r="M8">
        <v>5803.1</v>
      </c>
      <c r="N8">
        <v>2.6</v>
      </c>
      <c r="O8">
        <v>0.3</v>
      </c>
    </row>
    <row r="9" spans="1:26" x14ac:dyDescent="0.3">
      <c r="A9" t="s">
        <v>42</v>
      </c>
      <c r="B9" t="s">
        <v>29</v>
      </c>
      <c r="C9">
        <v>50.3</v>
      </c>
      <c r="D9">
        <v>141.19999999999999</v>
      </c>
      <c r="E9">
        <v>71</v>
      </c>
      <c r="F9">
        <v>0.84</v>
      </c>
      <c r="G9">
        <v>0.63900000000000001</v>
      </c>
      <c r="H9">
        <v>1.1000000000000001</v>
      </c>
      <c r="I9">
        <v>3</v>
      </c>
      <c r="J9">
        <v>35.299999999999997</v>
      </c>
      <c r="K9">
        <v>32.1</v>
      </c>
      <c r="L9">
        <v>7.0000000000000007E-2</v>
      </c>
      <c r="M9">
        <v>3211.1</v>
      </c>
      <c r="N9">
        <v>2.2000000000000002</v>
      </c>
      <c r="O9">
        <v>0.4</v>
      </c>
    </row>
    <row r="10" spans="1:26" x14ac:dyDescent="0.3">
      <c r="A10" t="s">
        <v>43</v>
      </c>
      <c r="B10" t="s">
        <v>16</v>
      </c>
      <c r="C10">
        <v>51.3</v>
      </c>
      <c r="D10">
        <v>136.19999999999999</v>
      </c>
      <c r="E10">
        <v>66</v>
      </c>
      <c r="F10">
        <v>0.88200000000000001</v>
      </c>
      <c r="G10">
        <v>0.66200000000000003</v>
      </c>
      <c r="H10">
        <v>1.7</v>
      </c>
      <c r="I10">
        <v>3</v>
      </c>
      <c r="J10">
        <v>34.4</v>
      </c>
      <c r="K10">
        <v>35.299999999999997</v>
      </c>
      <c r="L10">
        <v>0.04</v>
      </c>
      <c r="M10">
        <v>3227.7</v>
      </c>
      <c r="N10">
        <v>2.08</v>
      </c>
      <c r="O10">
        <v>0.6</v>
      </c>
    </row>
    <row r="11" spans="1:26" x14ac:dyDescent="0.3">
      <c r="A11" t="s">
        <v>43</v>
      </c>
      <c r="B11" t="s">
        <v>22</v>
      </c>
      <c r="C11">
        <v>50</v>
      </c>
      <c r="D11">
        <v>137.30000000000001</v>
      </c>
      <c r="E11">
        <v>65</v>
      </c>
      <c r="F11">
        <v>0.86099999999999999</v>
      </c>
      <c r="G11">
        <v>0.67400000000000004</v>
      </c>
      <c r="H11">
        <v>1.8</v>
      </c>
      <c r="I11">
        <v>3.2</v>
      </c>
      <c r="J11">
        <v>33</v>
      </c>
      <c r="K11">
        <v>37.1</v>
      </c>
      <c r="L11">
        <v>0.03</v>
      </c>
      <c r="M11">
        <v>3584.7</v>
      </c>
      <c r="N11">
        <v>2.2000000000000002</v>
      </c>
      <c r="O11">
        <v>0.48</v>
      </c>
    </row>
    <row r="12" spans="1:26" x14ac:dyDescent="0.3">
      <c r="A12" t="s">
        <v>44</v>
      </c>
      <c r="B12" t="s">
        <v>29</v>
      </c>
      <c r="C12">
        <v>52.6</v>
      </c>
      <c r="D12">
        <v>158</v>
      </c>
      <c r="E12">
        <v>129</v>
      </c>
      <c r="F12">
        <v>0.16200000000000001</v>
      </c>
      <c r="G12">
        <v>0.69199999999999995</v>
      </c>
      <c r="H12">
        <v>1.7</v>
      </c>
      <c r="I12">
        <v>3.1</v>
      </c>
      <c r="J12">
        <v>37.6</v>
      </c>
      <c r="K12">
        <v>37.700000000000003</v>
      </c>
      <c r="L12">
        <v>0.09</v>
      </c>
      <c r="M12">
        <v>5128.3999999999996</v>
      </c>
      <c r="N12">
        <v>2.6</v>
      </c>
      <c r="O12">
        <v>0.48</v>
      </c>
      <c r="R12" s="2" t="s">
        <v>32</v>
      </c>
    </row>
    <row r="13" spans="1:26" x14ac:dyDescent="0.3">
      <c r="A13" t="s">
        <v>45</v>
      </c>
      <c r="B13" t="s">
        <v>29</v>
      </c>
      <c r="C13">
        <v>50.3</v>
      </c>
      <c r="D13">
        <v>150</v>
      </c>
      <c r="E13">
        <v>77</v>
      </c>
      <c r="F13">
        <v>0.44500000000000001</v>
      </c>
      <c r="G13">
        <v>0.626</v>
      </c>
      <c r="H13">
        <v>1.5</v>
      </c>
      <c r="I13">
        <v>2.2000000000000002</v>
      </c>
      <c r="J13">
        <v>32.9</v>
      </c>
      <c r="K13">
        <v>35.4</v>
      </c>
      <c r="L13">
        <v>0.09</v>
      </c>
      <c r="M13">
        <v>4423.6000000000004</v>
      </c>
      <c r="N13">
        <v>1.7</v>
      </c>
      <c r="O13">
        <v>0.84</v>
      </c>
      <c r="S13" s="3" t="s">
        <v>34</v>
      </c>
      <c r="T13" s="3" t="s">
        <v>35</v>
      </c>
      <c r="U13" s="3" t="s">
        <v>36</v>
      </c>
      <c r="V13" s="3" t="s">
        <v>37</v>
      </c>
      <c r="W13" s="3" t="s">
        <v>38</v>
      </c>
      <c r="X13" s="3" t="s">
        <v>39</v>
      </c>
      <c r="Y13" s="3" t="s">
        <v>40</v>
      </c>
      <c r="Z13" s="6"/>
    </row>
    <row r="14" spans="1:26" x14ac:dyDescent="0.3">
      <c r="A14" t="s">
        <v>46</v>
      </c>
      <c r="B14" t="s">
        <v>22</v>
      </c>
      <c r="C14">
        <v>55.3</v>
      </c>
      <c r="D14">
        <v>145</v>
      </c>
      <c r="E14">
        <v>88</v>
      </c>
      <c r="F14">
        <v>0.16500000000000001</v>
      </c>
      <c r="G14">
        <v>0.60099999999999998</v>
      </c>
      <c r="H14">
        <v>8.5</v>
      </c>
      <c r="I14">
        <v>2.2999999999999998</v>
      </c>
      <c r="J14">
        <v>36.200000000000003</v>
      </c>
      <c r="K14">
        <v>33.200000000000003</v>
      </c>
      <c r="L14">
        <v>0.1</v>
      </c>
      <c r="M14">
        <v>3185.4</v>
      </c>
      <c r="N14">
        <v>1.82</v>
      </c>
      <c r="O14">
        <v>0.32</v>
      </c>
      <c r="R14" s="1" t="s">
        <v>2</v>
      </c>
      <c r="S14" s="5">
        <f>MIN(C2:C58)</f>
        <v>47</v>
      </c>
      <c r="T14" s="6">
        <f>_xlfn.QUARTILE.EXC(C2:C58,1)</f>
        <v>49.8</v>
      </c>
      <c r="U14" s="6">
        <f>MEDIAN(C2:C62)</f>
        <v>50.5</v>
      </c>
      <c r="V14" s="6">
        <f>_xlfn.QUARTILE.EXC(C2:C62,3)</f>
        <v>52.2</v>
      </c>
      <c r="W14" s="6">
        <f>MAX(C2:C62)</f>
        <v>55.3</v>
      </c>
      <c r="X14" s="6">
        <f>AVERAGE(C2:C62)</f>
        <v>50.826315789473689</v>
      </c>
      <c r="Y14" s="6">
        <f>_xlfn.STDEV.S(C2:C62)</f>
        <v>1.9036174506702339</v>
      </c>
    </row>
    <row r="15" spans="1:26" x14ac:dyDescent="0.3">
      <c r="A15" t="s">
        <v>47</v>
      </c>
      <c r="B15" t="s">
        <v>22</v>
      </c>
      <c r="C15">
        <v>49.2</v>
      </c>
      <c r="D15">
        <v>162.6</v>
      </c>
      <c r="E15">
        <v>81</v>
      </c>
      <c r="F15">
        <v>0.64500000000000002</v>
      </c>
      <c r="G15">
        <v>0.71</v>
      </c>
      <c r="H15">
        <v>6.7</v>
      </c>
      <c r="I15">
        <v>1.2</v>
      </c>
      <c r="J15">
        <v>37</v>
      </c>
      <c r="K15">
        <v>33.9</v>
      </c>
      <c r="L15">
        <v>0.02</v>
      </c>
      <c r="M15">
        <v>3973.1</v>
      </c>
      <c r="N15">
        <v>1.87</v>
      </c>
      <c r="O15">
        <v>0.36</v>
      </c>
      <c r="R15" s="1" t="s">
        <v>3</v>
      </c>
      <c r="S15" s="5">
        <f>MIN(D2:D58)</f>
        <v>127</v>
      </c>
      <c r="T15" s="6">
        <f>_xlfn.QUARTILE.EXC(D2:D58,1)</f>
        <v>130</v>
      </c>
      <c r="U15" s="6">
        <f>MEDIAN(D2:D62)</f>
        <v>146</v>
      </c>
      <c r="V15" s="6">
        <f>_xlfn.QUARTILE.EXC(D2:D62,3)</f>
        <v>157.35</v>
      </c>
      <c r="W15" s="6">
        <f>MAX(D2:D62)</f>
        <v>175.6</v>
      </c>
      <c r="X15" s="6">
        <f>AVERAGE(D2:D62)</f>
        <v>145.05438596491226</v>
      </c>
      <c r="Y15" s="6">
        <f>_xlfn.STDEV.S(D2:D62)</f>
        <v>13.468522431626566</v>
      </c>
    </row>
    <row r="16" spans="1:26" x14ac:dyDescent="0.3">
      <c r="A16" t="s">
        <v>48</v>
      </c>
      <c r="B16" t="s">
        <v>29</v>
      </c>
      <c r="C16">
        <v>51.3</v>
      </c>
      <c r="D16">
        <v>130</v>
      </c>
      <c r="E16">
        <v>72</v>
      </c>
      <c r="F16">
        <v>0.998</v>
      </c>
      <c r="G16">
        <v>0.65400000000000003</v>
      </c>
      <c r="H16">
        <v>1.7</v>
      </c>
      <c r="I16">
        <v>3.2</v>
      </c>
      <c r="J16">
        <v>31.7</v>
      </c>
      <c r="K16">
        <v>31.1</v>
      </c>
      <c r="L16">
        <v>0.09</v>
      </c>
      <c r="M16">
        <v>2432.3000000000002</v>
      </c>
      <c r="N16">
        <v>1.8</v>
      </c>
      <c r="O16">
        <v>0.83</v>
      </c>
      <c r="R16" s="15" t="s">
        <v>4</v>
      </c>
      <c r="S16" s="12">
        <f>MIN(E2:E58)</f>
        <v>63</v>
      </c>
      <c r="T16" s="16">
        <f>_xlfn.QUARTILE.EXC(E2:E58,1)</f>
        <v>76</v>
      </c>
      <c r="U16" s="16">
        <f>MEDIAN(E2:E62)</f>
        <v>90</v>
      </c>
      <c r="V16" s="16">
        <f>_xlfn.QUARTILE.EXC(E2:E62,3)</f>
        <v>123.5</v>
      </c>
      <c r="W16" s="16">
        <f>MAX(E2:E62)</f>
        <v>138</v>
      </c>
      <c r="X16" s="16">
        <f>AVERAGE(E2:E62)</f>
        <v>97.491228070175438</v>
      </c>
      <c r="Y16" s="16">
        <f>_xlfn.STDEV.S(E2:E62)</f>
        <v>24.653399365008998</v>
      </c>
    </row>
    <row r="17" spans="1:26" x14ac:dyDescent="0.3">
      <c r="A17" t="s">
        <v>33</v>
      </c>
      <c r="B17" t="s">
        <v>16</v>
      </c>
      <c r="C17">
        <v>51.2</v>
      </c>
      <c r="D17">
        <v>149</v>
      </c>
      <c r="E17">
        <v>123</v>
      </c>
      <c r="F17">
        <v>0.502</v>
      </c>
      <c r="G17">
        <v>0.66300000000000003</v>
      </c>
      <c r="H17">
        <v>2.1</v>
      </c>
      <c r="I17">
        <v>3.1</v>
      </c>
      <c r="J17">
        <v>39.1</v>
      </c>
      <c r="K17">
        <v>33.6</v>
      </c>
      <c r="L17">
        <v>0.09</v>
      </c>
      <c r="M17">
        <v>4213.5</v>
      </c>
      <c r="N17">
        <v>1.7</v>
      </c>
      <c r="O17">
        <v>0.6</v>
      </c>
      <c r="R17" s="1" t="s">
        <v>5</v>
      </c>
      <c r="S17" s="5">
        <f>MIN(F2:F58)</f>
        <v>0.161</v>
      </c>
      <c r="T17" s="6">
        <f>_xlfn.QUARTILE.EXC(F2:F58,1)</f>
        <v>0.30599999999999999</v>
      </c>
      <c r="U17" s="6">
        <f>MEDIAN(F2:F62)</f>
        <v>0.48</v>
      </c>
      <c r="V17" s="6">
        <f>_xlfn.QUARTILE.EXC(F2:F62,3)</f>
        <v>0.65900000000000003</v>
      </c>
      <c r="W17" s="6">
        <f>MAX(F2:F62)</f>
        <v>1.1000000000000001</v>
      </c>
      <c r="X17" s="6">
        <f>AVERAGE(F2:F62)</f>
        <v>0.50024561403508783</v>
      </c>
      <c r="Y17" s="6">
        <f>_xlfn.STDEV.S(F2:F62)</f>
        <v>0.24286800359026259</v>
      </c>
    </row>
    <row r="18" spans="1:26" x14ac:dyDescent="0.3">
      <c r="A18" t="s">
        <v>42</v>
      </c>
      <c r="B18" t="s">
        <v>22</v>
      </c>
      <c r="C18">
        <v>52.7</v>
      </c>
      <c r="D18">
        <v>142</v>
      </c>
      <c r="E18">
        <v>70</v>
      </c>
      <c r="F18">
        <v>0.182</v>
      </c>
      <c r="G18">
        <v>0.61799999999999999</v>
      </c>
      <c r="H18">
        <v>1.2</v>
      </c>
      <c r="I18">
        <v>3.2</v>
      </c>
      <c r="J18">
        <v>37.700000000000003</v>
      </c>
      <c r="K18">
        <v>31.8</v>
      </c>
      <c r="L18">
        <v>0.05</v>
      </c>
      <c r="M18">
        <v>3161.5</v>
      </c>
      <c r="N18">
        <v>2.08</v>
      </c>
      <c r="O18">
        <v>0.6</v>
      </c>
      <c r="R18" s="1" t="s">
        <v>6</v>
      </c>
      <c r="S18" s="5">
        <f>MIN(G2:G58)</f>
        <v>0.59799999999999998</v>
      </c>
      <c r="T18" s="6">
        <f>_xlfn.QUARTILE.EXC(G2:G58,1)</f>
        <v>0.62749999999999995</v>
      </c>
      <c r="U18" s="6">
        <f>MEDIAN(G2:G62)</f>
        <v>0.67300000000000004</v>
      </c>
      <c r="V18" s="6">
        <f>_xlfn.QUARTILE.EXC(G2:G62,3)</f>
        <v>0.72150000000000003</v>
      </c>
      <c r="W18" s="6">
        <f>MAX(G2:G62)</f>
        <v>0.77400000000000002</v>
      </c>
      <c r="X18" s="6">
        <f>AVERAGE(G2:G62)</f>
        <v>0.67592982456140382</v>
      </c>
      <c r="Y18" s="6">
        <f>_xlfn.STDEV.S(G2:G62)</f>
        <v>4.7928465911309205E-2</v>
      </c>
    </row>
    <row r="19" spans="1:26" x14ac:dyDescent="0.3">
      <c r="A19" t="s">
        <v>31</v>
      </c>
      <c r="B19" t="s">
        <v>16</v>
      </c>
      <c r="C19">
        <v>50</v>
      </c>
      <c r="D19">
        <v>127</v>
      </c>
      <c r="E19">
        <v>124</v>
      </c>
      <c r="F19">
        <v>0.32200000000000001</v>
      </c>
      <c r="G19">
        <v>0.61199999999999999</v>
      </c>
      <c r="H19">
        <v>9.9</v>
      </c>
      <c r="I19">
        <v>2.1</v>
      </c>
      <c r="J19">
        <v>35.4</v>
      </c>
      <c r="K19">
        <v>33.299999999999997</v>
      </c>
      <c r="L19">
        <v>0.04</v>
      </c>
      <c r="M19">
        <v>5123.6000000000004</v>
      </c>
      <c r="N19">
        <v>1.86</v>
      </c>
      <c r="O19">
        <v>0.4</v>
      </c>
      <c r="R19" s="1" t="s">
        <v>7</v>
      </c>
      <c r="S19" s="5">
        <f>MIN(H2:H58)</f>
        <v>1</v>
      </c>
      <c r="T19" s="6">
        <f>_xlfn.QUARTILE.EXC(H2:H58,1)</f>
        <v>1.45</v>
      </c>
      <c r="U19" s="6">
        <f>MEDIAN(H2:H62)</f>
        <v>2.1</v>
      </c>
      <c r="V19" s="6">
        <f>_xlfn.QUARTILE.EXC(H2:H62,3)</f>
        <v>7.15</v>
      </c>
      <c r="W19" s="6">
        <f>MAX(H2:H62)</f>
        <v>10.199999999999999</v>
      </c>
      <c r="X19" s="6">
        <f>AVERAGE(H2:H62)</f>
        <v>3.9824561403508771</v>
      </c>
      <c r="Y19" s="6">
        <f>_xlfn.STDEV.S(H2:H62)</f>
        <v>3.1212476218320115</v>
      </c>
    </row>
    <row r="20" spans="1:26" x14ac:dyDescent="0.3">
      <c r="A20" t="s">
        <v>46</v>
      </c>
      <c r="B20" t="s">
        <v>29</v>
      </c>
      <c r="C20">
        <v>55.3</v>
      </c>
      <c r="D20">
        <v>146</v>
      </c>
      <c r="E20">
        <v>85</v>
      </c>
      <c r="F20">
        <v>0.16200000000000001</v>
      </c>
      <c r="G20">
        <v>0.59799999999999998</v>
      </c>
      <c r="H20">
        <v>8</v>
      </c>
      <c r="I20">
        <v>2.2000000000000002</v>
      </c>
      <c r="J20">
        <v>33.200000000000003</v>
      </c>
      <c r="K20">
        <v>35.200000000000003</v>
      </c>
      <c r="L20">
        <v>0.09</v>
      </c>
      <c r="M20">
        <v>3123.8</v>
      </c>
      <c r="N20">
        <v>2.1</v>
      </c>
      <c r="O20">
        <v>0.33</v>
      </c>
      <c r="R20" s="1" t="s">
        <v>8</v>
      </c>
      <c r="S20" s="5">
        <f>MIN(I2:I58)</f>
        <v>1.1000000000000001</v>
      </c>
      <c r="T20" s="6">
        <f>_xlfn.QUARTILE.EXC(I2:I58,1)</f>
        <v>1.4</v>
      </c>
      <c r="U20" s="6">
        <f>MEDIAN(I2:I62)</f>
        <v>2.2000000000000002</v>
      </c>
      <c r="V20" s="6">
        <f>_xlfn.QUARTILE.EXC(I2:I62,3)</f>
        <v>3.1</v>
      </c>
      <c r="W20" s="6">
        <f>MAX(I2:I62)</f>
        <v>3.5</v>
      </c>
      <c r="X20" s="6">
        <f>AVERAGE(I2:I62)</f>
        <v>2.2771929824561399</v>
      </c>
      <c r="Y20" s="6">
        <f>_xlfn.STDEV.S(I2:I62)</f>
        <v>0.77020812211924183</v>
      </c>
    </row>
    <row r="21" spans="1:26" x14ac:dyDescent="0.3">
      <c r="A21" t="s">
        <v>52</v>
      </c>
      <c r="B21" t="s">
        <v>29</v>
      </c>
      <c r="C21">
        <v>47.3</v>
      </c>
      <c r="D21">
        <v>127</v>
      </c>
      <c r="E21">
        <v>93</v>
      </c>
      <c r="F21">
        <v>0.65600000000000003</v>
      </c>
      <c r="G21">
        <v>0.69799999999999995</v>
      </c>
      <c r="H21">
        <v>1.2</v>
      </c>
      <c r="I21">
        <v>1.1000000000000001</v>
      </c>
      <c r="J21">
        <v>37.200000000000003</v>
      </c>
      <c r="K21">
        <v>34.5</v>
      </c>
      <c r="L21">
        <v>0.06</v>
      </c>
      <c r="M21">
        <v>4758.3999999999996</v>
      </c>
      <c r="N21">
        <v>1.86</v>
      </c>
      <c r="O21">
        <v>0.16</v>
      </c>
      <c r="R21" s="1" t="s">
        <v>9</v>
      </c>
      <c r="S21" s="5">
        <f>MIN(J2:J58)</f>
        <v>31.1</v>
      </c>
      <c r="T21" s="6">
        <f>_xlfn.QUARTILE.EXC(J2:J58,1)</f>
        <v>33.5</v>
      </c>
      <c r="U21" s="6">
        <f>MEDIAN(J2:J62)</f>
        <v>36.200000000000003</v>
      </c>
      <c r="V21" s="6">
        <f>_xlfn.QUARTILE.EXC(J2:J62,3)</f>
        <v>37.6</v>
      </c>
      <c r="W21" s="6">
        <f>MAX(J2:J62)</f>
        <v>39.9</v>
      </c>
      <c r="X21" s="6">
        <f>AVERAGE(J2:J62)</f>
        <v>35.724561403508773</v>
      </c>
      <c r="Y21" s="6">
        <f>_xlfn.STDEV.S(J2:J62)</f>
        <v>2.4610741486010292</v>
      </c>
    </row>
    <row r="22" spans="1:26" x14ac:dyDescent="0.3">
      <c r="A22" t="s">
        <v>53</v>
      </c>
      <c r="B22" t="s">
        <v>22</v>
      </c>
      <c r="C22">
        <v>49</v>
      </c>
      <c r="D22">
        <v>132.69999999999999</v>
      </c>
      <c r="E22">
        <v>137</v>
      </c>
      <c r="F22">
        <v>0.77200000000000002</v>
      </c>
      <c r="G22">
        <v>0.72</v>
      </c>
      <c r="H22">
        <v>7.4</v>
      </c>
      <c r="I22">
        <v>1.2</v>
      </c>
      <c r="J22">
        <v>39.9</v>
      </c>
      <c r="K22">
        <v>34.299999999999997</v>
      </c>
      <c r="L22">
        <v>0.09</v>
      </c>
      <c r="M22">
        <v>2877.5</v>
      </c>
      <c r="N22">
        <v>1.86</v>
      </c>
      <c r="O22">
        <v>0.6</v>
      </c>
      <c r="R22" s="1" t="s">
        <v>10</v>
      </c>
      <c r="S22" s="5">
        <f>MIN(K2:K58)</f>
        <v>27.4</v>
      </c>
      <c r="T22" s="6">
        <f>_xlfn.QUARTILE.EXC(K2:K58,1)</f>
        <v>32.200000000000003</v>
      </c>
      <c r="U22" s="6">
        <f>MEDIAN(K2:K62)</f>
        <v>34.200000000000003</v>
      </c>
      <c r="V22" s="6">
        <f>_xlfn.QUARTILE.EXC(K2:K62,3)</f>
        <v>35.75</v>
      </c>
      <c r="W22" s="6">
        <f>MAX(K2:K62)</f>
        <v>39.700000000000003</v>
      </c>
      <c r="X22" s="6">
        <f>AVERAGE(K2:K62)</f>
        <v>33.959649122807022</v>
      </c>
      <c r="Y22" s="6">
        <f>_xlfn.STDEV.S(K2:K62)</f>
        <v>2.7242207043694697</v>
      </c>
    </row>
    <row r="23" spans="1:26" x14ac:dyDescent="0.3">
      <c r="A23" t="s">
        <v>41</v>
      </c>
      <c r="B23" t="s">
        <v>29</v>
      </c>
      <c r="C23">
        <v>53.4</v>
      </c>
      <c r="D23">
        <v>161</v>
      </c>
      <c r="E23">
        <v>100</v>
      </c>
      <c r="F23">
        <v>0.61</v>
      </c>
      <c r="G23">
        <v>0.72099999999999997</v>
      </c>
      <c r="H23">
        <v>8.9</v>
      </c>
      <c r="I23">
        <v>2.2000000000000002</v>
      </c>
      <c r="J23">
        <v>31.9</v>
      </c>
      <c r="K23">
        <v>28.9</v>
      </c>
      <c r="L23">
        <v>0.09</v>
      </c>
      <c r="M23">
        <v>5443.6</v>
      </c>
      <c r="N23">
        <v>2.6</v>
      </c>
      <c r="O23">
        <v>0.4</v>
      </c>
      <c r="R23" s="1" t="s">
        <v>11</v>
      </c>
      <c r="S23" s="5">
        <f>MIN(L2:L58)</f>
        <v>0.02</v>
      </c>
      <c r="T23" s="6">
        <f>_xlfn.QUARTILE.EXC(L2:L58,1)</f>
        <v>0.05</v>
      </c>
      <c r="U23" s="6">
        <f>MEDIAN(L2:L62)</f>
        <v>0.08</v>
      </c>
      <c r="V23" s="6">
        <f>_xlfn.QUARTILE.EXC(L2:L62,3)</f>
        <v>0.09</v>
      </c>
      <c r="W23" s="6">
        <f>MAX(L2:L62)</f>
        <v>0.1</v>
      </c>
      <c r="X23" s="6">
        <f>AVERAGE(L2:L62)</f>
        <v>7.1578947368421048E-2</v>
      </c>
      <c r="Y23" s="6">
        <f>_xlfn.STDEV.S(L2:L62)</f>
        <v>2.2661284927966131E-2</v>
      </c>
    </row>
    <row r="24" spans="1:26" x14ac:dyDescent="0.3">
      <c r="A24" t="s">
        <v>54</v>
      </c>
      <c r="B24" t="s">
        <v>29</v>
      </c>
      <c r="C24">
        <v>50.3</v>
      </c>
      <c r="D24">
        <v>157.69999999999999</v>
      </c>
      <c r="E24">
        <v>98</v>
      </c>
      <c r="F24">
        <v>0.25</v>
      </c>
      <c r="G24">
        <v>0.76500000000000001</v>
      </c>
      <c r="H24">
        <v>3.8</v>
      </c>
      <c r="I24">
        <v>2.2000000000000002</v>
      </c>
      <c r="J24">
        <v>38.700000000000003</v>
      </c>
      <c r="K24">
        <v>29.2</v>
      </c>
      <c r="L24">
        <v>0.04</v>
      </c>
      <c r="M24">
        <v>4687.3999999999996</v>
      </c>
      <c r="N24">
        <v>1.9</v>
      </c>
      <c r="O24">
        <v>0.42</v>
      </c>
      <c r="R24" s="15" t="s">
        <v>12</v>
      </c>
      <c r="S24" s="12">
        <f>MIN(M2:M58)</f>
        <v>2334.1999999999998</v>
      </c>
      <c r="T24" s="16">
        <f>_xlfn.QUARTILE.EXC(M2:M58,1)</f>
        <v>3224.5</v>
      </c>
      <c r="U24" s="16">
        <f>MEDIAN(M2:M62)</f>
        <v>4234.5</v>
      </c>
      <c r="V24" s="16">
        <f>_xlfn.QUARTILE.EXC(M2:M62,3)</f>
        <v>5126</v>
      </c>
      <c r="W24" s="16">
        <f>MAX(M2:M62)</f>
        <v>5990.3</v>
      </c>
      <c r="X24" s="16">
        <f>AVERAGE(M2:M62)</f>
        <v>4198.7403508771922</v>
      </c>
      <c r="Y24" s="16">
        <f>_xlfn.STDEV.S(M2:M62)</f>
        <v>1019.9338772089367</v>
      </c>
    </row>
    <row r="25" spans="1:26" x14ac:dyDescent="0.3">
      <c r="A25" t="s">
        <v>27</v>
      </c>
      <c r="B25" t="s">
        <v>22</v>
      </c>
      <c r="C25">
        <v>47.4</v>
      </c>
      <c r="D25">
        <v>150.5</v>
      </c>
      <c r="E25">
        <v>84</v>
      </c>
      <c r="F25">
        <v>0.33100000000000002</v>
      </c>
      <c r="G25">
        <v>0.73899999999999999</v>
      </c>
      <c r="H25">
        <v>1</v>
      </c>
      <c r="I25">
        <v>2.9</v>
      </c>
      <c r="J25">
        <v>32.1</v>
      </c>
      <c r="K25">
        <v>39.700000000000003</v>
      </c>
      <c r="L25">
        <v>0.03</v>
      </c>
      <c r="M25">
        <v>4413.8999999999996</v>
      </c>
      <c r="N25">
        <v>2.0499999999999998</v>
      </c>
      <c r="O25">
        <v>0.78</v>
      </c>
      <c r="R25" s="1" t="s">
        <v>13</v>
      </c>
      <c r="S25" s="5">
        <f>MIN(N2:N58)</f>
        <v>1.4</v>
      </c>
      <c r="T25" s="6">
        <f>_xlfn.QUARTILE.EXC(N2:N58,1)</f>
        <v>1.86</v>
      </c>
      <c r="U25" s="6">
        <f>MEDIAN(N2:N62)</f>
        <v>2.08</v>
      </c>
      <c r="V25" s="6">
        <f>_xlfn.QUARTILE.EXC(N2:N62,3)</f>
        <v>2.2000000000000002</v>
      </c>
      <c r="W25" s="6">
        <f>MAX(N2:N62)</f>
        <v>2.6</v>
      </c>
      <c r="X25" s="6">
        <f>AVERAGE(N2:N62)</f>
        <v>2.051228070175438</v>
      </c>
      <c r="Y25" s="6">
        <f>_xlfn.STDEV.S(N2:N62)</f>
        <v>0.27068741972614463</v>
      </c>
      <c r="Z25" s="6"/>
    </row>
    <row r="26" spans="1:26" x14ac:dyDescent="0.3">
      <c r="A26" t="s">
        <v>42</v>
      </c>
      <c r="B26" t="s">
        <v>16</v>
      </c>
      <c r="C26">
        <v>50.6</v>
      </c>
      <c r="D26">
        <v>141</v>
      </c>
      <c r="E26">
        <v>69</v>
      </c>
      <c r="F26">
        <v>0.18</v>
      </c>
      <c r="G26">
        <v>0.623</v>
      </c>
      <c r="H26">
        <v>1.3</v>
      </c>
      <c r="I26">
        <v>3.3</v>
      </c>
      <c r="J26">
        <v>37.299999999999997</v>
      </c>
      <c r="K26">
        <v>30.6</v>
      </c>
      <c r="L26">
        <v>0.06</v>
      </c>
      <c r="M26">
        <v>3112.2</v>
      </c>
      <c r="N26">
        <v>2.1</v>
      </c>
      <c r="O26">
        <v>0.5</v>
      </c>
      <c r="R26" s="1" t="s">
        <v>14</v>
      </c>
      <c r="S26" s="5">
        <f>MIN(O2:O58)</f>
        <v>0.12</v>
      </c>
      <c r="T26" s="6">
        <f>_xlfn.QUARTILE.EXC(O2:O58,1)</f>
        <v>0.33</v>
      </c>
      <c r="U26" s="6">
        <f>MEDIAN(O2:O62)</f>
        <v>0.48</v>
      </c>
      <c r="V26" s="6">
        <f>_xlfn.QUARTILE.EXC(O2:O62,3)</f>
        <v>0.6</v>
      </c>
      <c r="W26" s="6">
        <f>MAX(O2:O62)</f>
        <v>0.84</v>
      </c>
      <c r="X26" s="6">
        <f>AVERAGE(O2:O62)</f>
        <v>0.47719298245614045</v>
      </c>
      <c r="Y26" s="6">
        <f>_xlfn.STDEV.S(O2:O62)</f>
        <v>0.20625707248449587</v>
      </c>
      <c r="Z26" s="6"/>
    </row>
    <row r="27" spans="1:26" x14ac:dyDescent="0.3">
      <c r="A27" t="s">
        <v>43</v>
      </c>
      <c r="B27" t="s">
        <v>29</v>
      </c>
      <c r="C27">
        <v>52</v>
      </c>
      <c r="D27">
        <v>135.9</v>
      </c>
      <c r="E27">
        <v>63</v>
      </c>
      <c r="F27">
        <v>0.83199999999999996</v>
      </c>
      <c r="G27">
        <v>0.61099999999999999</v>
      </c>
      <c r="H27">
        <v>1.4</v>
      </c>
      <c r="I27">
        <v>3.1</v>
      </c>
      <c r="J27">
        <v>33.6</v>
      </c>
      <c r="K27">
        <v>37.6</v>
      </c>
      <c r="L27">
        <v>0.05</v>
      </c>
      <c r="M27">
        <v>3321.5</v>
      </c>
      <c r="N27">
        <v>1.9</v>
      </c>
      <c r="O27">
        <v>0.6</v>
      </c>
    </row>
    <row r="28" spans="1:26" x14ac:dyDescent="0.3">
      <c r="A28" t="s">
        <v>48</v>
      </c>
      <c r="B28" t="s">
        <v>16</v>
      </c>
      <c r="C28">
        <v>53.2</v>
      </c>
      <c r="D28">
        <v>129</v>
      </c>
      <c r="E28">
        <v>73</v>
      </c>
      <c r="F28">
        <v>0.98899999999999999</v>
      </c>
      <c r="G28">
        <v>0.67300000000000004</v>
      </c>
      <c r="H28">
        <v>1.6</v>
      </c>
      <c r="I28">
        <v>3.1</v>
      </c>
      <c r="J28">
        <v>33</v>
      </c>
      <c r="K28">
        <v>30.3</v>
      </c>
      <c r="L28">
        <v>7.0000000000000007E-2</v>
      </c>
      <c r="M28">
        <v>2334.1999999999998</v>
      </c>
      <c r="N28">
        <v>1.88</v>
      </c>
      <c r="O28">
        <v>0.78</v>
      </c>
    </row>
    <row r="29" spans="1:26" x14ac:dyDescent="0.3">
      <c r="A29" t="s">
        <v>19</v>
      </c>
      <c r="B29" t="s">
        <v>29</v>
      </c>
      <c r="C29">
        <v>49.2</v>
      </c>
      <c r="D29">
        <v>148</v>
      </c>
      <c r="E29">
        <v>83</v>
      </c>
      <c r="F29">
        <v>0.46</v>
      </c>
      <c r="G29">
        <v>0.626</v>
      </c>
      <c r="H29">
        <v>1.4</v>
      </c>
      <c r="I29">
        <v>1.2</v>
      </c>
      <c r="J29">
        <v>32.1</v>
      </c>
      <c r="K29">
        <v>32.200000000000003</v>
      </c>
      <c r="L29">
        <v>7.0000000000000007E-2</v>
      </c>
      <c r="M29">
        <v>4234.5</v>
      </c>
      <c r="N29">
        <v>2.2000000000000002</v>
      </c>
      <c r="O29">
        <v>0.14000000000000001</v>
      </c>
      <c r="R29" s="2" t="s">
        <v>51</v>
      </c>
    </row>
    <row r="30" spans="1:26" x14ac:dyDescent="0.3">
      <c r="A30" t="s">
        <v>31</v>
      </c>
      <c r="B30" t="s">
        <v>22</v>
      </c>
      <c r="C30">
        <v>49</v>
      </c>
      <c r="D30">
        <v>127.5</v>
      </c>
      <c r="E30">
        <v>126</v>
      </c>
      <c r="F30">
        <v>0.314</v>
      </c>
      <c r="G30">
        <v>0.621</v>
      </c>
      <c r="H30">
        <v>10.199999999999999</v>
      </c>
      <c r="I30">
        <v>2.2000000000000002</v>
      </c>
      <c r="J30">
        <v>37.6</v>
      </c>
      <c r="K30">
        <v>35.4</v>
      </c>
      <c r="L30">
        <v>0.03</v>
      </c>
      <c r="M30">
        <v>5103.8999999999996</v>
      </c>
      <c r="N30">
        <v>2.4</v>
      </c>
      <c r="O30">
        <v>0.42</v>
      </c>
      <c r="R30" s="14" t="s">
        <v>104</v>
      </c>
      <c r="S30" s="1" t="str">
        <f>R16</f>
        <v>Biological Weight (BW)</v>
      </c>
    </row>
    <row r="31" spans="1:26" x14ac:dyDescent="0.3">
      <c r="A31" t="s">
        <v>45</v>
      </c>
      <c r="B31" t="s">
        <v>16</v>
      </c>
      <c r="C31">
        <v>48.3</v>
      </c>
      <c r="D31">
        <v>152</v>
      </c>
      <c r="E31">
        <v>78</v>
      </c>
      <c r="F31">
        <v>0.34399999999999997</v>
      </c>
      <c r="G31">
        <v>0.72199999999999998</v>
      </c>
      <c r="H31">
        <v>1.4</v>
      </c>
      <c r="I31">
        <v>2.1</v>
      </c>
      <c r="J31">
        <v>36.6</v>
      </c>
      <c r="K31">
        <v>33.200000000000003</v>
      </c>
      <c r="L31">
        <v>0.09</v>
      </c>
      <c r="M31">
        <v>4357.7</v>
      </c>
      <c r="N31">
        <v>1.4</v>
      </c>
      <c r="O31">
        <v>0.7</v>
      </c>
      <c r="R31" s="14" t="s">
        <v>105</v>
      </c>
      <c r="S31" s="1" t="str">
        <f>R24</f>
        <v>Seed Yield per Unit Area (SYUA)</v>
      </c>
    </row>
    <row r="32" spans="1:26" x14ac:dyDescent="0.3">
      <c r="A32" t="s">
        <v>57</v>
      </c>
      <c r="B32" t="s">
        <v>22</v>
      </c>
      <c r="C32">
        <v>52.8</v>
      </c>
      <c r="D32">
        <v>143</v>
      </c>
      <c r="E32">
        <v>138</v>
      </c>
      <c r="F32">
        <v>0.46300000000000002</v>
      </c>
      <c r="G32">
        <v>0.70599999999999996</v>
      </c>
      <c r="H32">
        <v>1.7</v>
      </c>
      <c r="I32">
        <v>2.8</v>
      </c>
      <c r="J32">
        <v>33.5</v>
      </c>
      <c r="K32">
        <v>36.1</v>
      </c>
      <c r="L32">
        <v>0.09</v>
      </c>
      <c r="M32">
        <v>5990.3</v>
      </c>
      <c r="N32">
        <v>2.4</v>
      </c>
      <c r="O32">
        <v>0.6</v>
      </c>
      <c r="S32" s="6"/>
      <c r="T32" s="6"/>
      <c r="U32" s="6"/>
      <c r="V32" s="6"/>
      <c r="W32" s="6"/>
      <c r="X32" s="6"/>
    </row>
    <row r="33" spans="1:24" x14ac:dyDescent="0.3">
      <c r="A33" t="s">
        <v>44</v>
      </c>
      <c r="B33" t="s">
        <v>16</v>
      </c>
      <c r="C33">
        <v>52.2</v>
      </c>
      <c r="D33">
        <v>159</v>
      </c>
      <c r="E33">
        <v>131</v>
      </c>
      <c r="F33">
        <v>0.16300000000000001</v>
      </c>
      <c r="G33">
        <v>0.65400000000000003</v>
      </c>
      <c r="H33">
        <v>1.5</v>
      </c>
      <c r="I33">
        <v>3.2</v>
      </c>
      <c r="J33">
        <v>35.299999999999997</v>
      </c>
      <c r="K33">
        <v>34.299999999999997</v>
      </c>
      <c r="L33">
        <v>0.09</v>
      </c>
      <c r="M33">
        <v>5453.4</v>
      </c>
      <c r="N33">
        <v>2.2000000000000002</v>
      </c>
      <c r="O33">
        <v>0.23</v>
      </c>
      <c r="S33" s="6"/>
      <c r="T33" s="6"/>
      <c r="U33" s="6"/>
      <c r="V33" s="6"/>
      <c r="W33" s="6"/>
      <c r="X33" s="6"/>
    </row>
    <row r="34" spans="1:24" x14ac:dyDescent="0.3">
      <c r="A34" t="s">
        <v>48</v>
      </c>
      <c r="B34" t="s">
        <v>22</v>
      </c>
      <c r="C34">
        <v>51</v>
      </c>
      <c r="D34">
        <v>128.9</v>
      </c>
      <c r="E34">
        <v>70</v>
      </c>
      <c r="F34">
        <v>1.1000000000000001</v>
      </c>
      <c r="G34">
        <v>0.66</v>
      </c>
      <c r="H34">
        <v>1.5</v>
      </c>
      <c r="I34">
        <v>3.3</v>
      </c>
      <c r="J34">
        <v>39.6</v>
      </c>
      <c r="K34">
        <v>29.6</v>
      </c>
      <c r="L34">
        <v>0.08</v>
      </c>
      <c r="M34">
        <v>2567.9</v>
      </c>
      <c r="N34">
        <v>1.8</v>
      </c>
      <c r="O34">
        <v>0.84</v>
      </c>
      <c r="S34" s="6"/>
      <c r="T34" s="6"/>
      <c r="U34" s="6"/>
      <c r="V34" s="6"/>
      <c r="W34" s="6"/>
      <c r="X34" s="6"/>
    </row>
    <row r="35" spans="1:24" x14ac:dyDescent="0.3">
      <c r="A35" t="s">
        <v>26</v>
      </c>
      <c r="B35" t="s">
        <v>29</v>
      </c>
      <c r="C35">
        <v>47.7</v>
      </c>
      <c r="D35">
        <v>157</v>
      </c>
      <c r="E35">
        <v>65</v>
      </c>
      <c r="F35">
        <v>0.29399999999999998</v>
      </c>
      <c r="G35">
        <v>0.625</v>
      </c>
      <c r="H35">
        <v>7.1</v>
      </c>
      <c r="I35">
        <v>1.3</v>
      </c>
      <c r="J35">
        <v>33.5</v>
      </c>
      <c r="K35">
        <v>33.4</v>
      </c>
      <c r="L35">
        <v>0.08</v>
      </c>
      <c r="M35">
        <v>3221.3</v>
      </c>
      <c r="N35">
        <v>2.0499999999999998</v>
      </c>
      <c r="O35">
        <v>0.15</v>
      </c>
      <c r="S35" s="6"/>
      <c r="T35" s="6"/>
      <c r="U35" s="6"/>
      <c r="V35" s="6"/>
      <c r="W35" s="6"/>
      <c r="X35" s="6"/>
    </row>
    <row r="36" spans="1:24" x14ac:dyDescent="0.3">
      <c r="A36" t="s">
        <v>15</v>
      </c>
      <c r="B36" t="s">
        <v>22</v>
      </c>
      <c r="C36">
        <v>51.2</v>
      </c>
      <c r="D36">
        <v>130</v>
      </c>
      <c r="E36">
        <v>113</v>
      </c>
      <c r="F36">
        <v>0.43</v>
      </c>
      <c r="G36">
        <v>0.76200000000000001</v>
      </c>
      <c r="H36">
        <v>1.1000000000000001</v>
      </c>
      <c r="I36">
        <v>3.5</v>
      </c>
      <c r="J36">
        <v>37.4</v>
      </c>
      <c r="K36">
        <v>36.4</v>
      </c>
      <c r="L36">
        <v>0.1</v>
      </c>
      <c r="M36">
        <v>5740.7</v>
      </c>
      <c r="N36">
        <v>2.6</v>
      </c>
      <c r="O36">
        <v>0.6</v>
      </c>
      <c r="S36" s="6"/>
      <c r="T36" s="6"/>
      <c r="U36" s="6"/>
      <c r="V36" s="6"/>
      <c r="W36" s="6"/>
      <c r="X36" s="6"/>
    </row>
    <row r="37" spans="1:24" x14ac:dyDescent="0.3">
      <c r="A37" t="s">
        <v>52</v>
      </c>
      <c r="B37" t="s">
        <v>22</v>
      </c>
      <c r="C37">
        <v>48.2</v>
      </c>
      <c r="D37">
        <v>129.80000000000001</v>
      </c>
      <c r="E37">
        <v>92</v>
      </c>
      <c r="F37">
        <v>0.67500000000000004</v>
      </c>
      <c r="G37">
        <v>0.64</v>
      </c>
      <c r="H37">
        <v>1.1000000000000001</v>
      </c>
      <c r="I37">
        <v>1.5</v>
      </c>
      <c r="J37">
        <v>38.200000000000003</v>
      </c>
      <c r="K37">
        <v>33.6</v>
      </c>
      <c r="L37">
        <v>0.05</v>
      </c>
      <c r="M37">
        <v>4001</v>
      </c>
      <c r="N37">
        <v>2.2000000000000002</v>
      </c>
      <c r="O37">
        <v>0.18</v>
      </c>
      <c r="S37" s="6"/>
      <c r="T37" s="6"/>
      <c r="U37" s="6"/>
      <c r="V37" s="6"/>
      <c r="W37" s="6"/>
      <c r="X37" s="6"/>
    </row>
    <row r="38" spans="1:24" x14ac:dyDescent="0.3">
      <c r="A38" t="s">
        <v>57</v>
      </c>
      <c r="B38" t="s">
        <v>29</v>
      </c>
      <c r="C38">
        <v>49.8</v>
      </c>
      <c r="D38">
        <v>145</v>
      </c>
      <c r="E38">
        <v>136</v>
      </c>
      <c r="F38">
        <v>0.44700000000000001</v>
      </c>
      <c r="G38">
        <v>0.72299999999999998</v>
      </c>
      <c r="H38">
        <v>1.4</v>
      </c>
      <c r="I38">
        <v>2</v>
      </c>
      <c r="J38">
        <v>37.6</v>
      </c>
      <c r="K38">
        <v>36.4</v>
      </c>
      <c r="L38">
        <v>0.05</v>
      </c>
      <c r="M38">
        <v>5112.8999999999996</v>
      </c>
      <c r="N38">
        <v>2.08</v>
      </c>
      <c r="O38">
        <v>0.5</v>
      </c>
      <c r="S38" s="6"/>
      <c r="T38" s="6"/>
      <c r="U38" s="6"/>
      <c r="V38" s="6"/>
      <c r="W38" s="6"/>
      <c r="X38" s="6"/>
    </row>
    <row r="39" spans="1:24" x14ac:dyDescent="0.3">
      <c r="A39" t="s">
        <v>62</v>
      </c>
      <c r="B39" t="s">
        <v>16</v>
      </c>
      <c r="C39">
        <v>51.3</v>
      </c>
      <c r="D39">
        <v>130</v>
      </c>
      <c r="E39">
        <v>131</v>
      </c>
      <c r="F39">
        <v>0.53400000000000003</v>
      </c>
      <c r="G39">
        <v>0.67700000000000005</v>
      </c>
      <c r="H39">
        <v>2.8</v>
      </c>
      <c r="I39">
        <v>2.2000000000000002</v>
      </c>
      <c r="J39">
        <v>35.299999999999997</v>
      </c>
      <c r="K39">
        <v>33.6</v>
      </c>
      <c r="L39">
        <v>0.08</v>
      </c>
      <c r="M39">
        <v>5454.4</v>
      </c>
      <c r="N39">
        <v>1.84</v>
      </c>
      <c r="O39">
        <v>0.44</v>
      </c>
      <c r="S39" s="6"/>
      <c r="T39" s="6"/>
      <c r="U39" s="6"/>
      <c r="V39" s="6"/>
      <c r="W39" s="6"/>
      <c r="X39" s="6"/>
    </row>
    <row r="40" spans="1:24" x14ac:dyDescent="0.3">
      <c r="A40" t="s">
        <v>53</v>
      </c>
      <c r="B40" t="s">
        <v>29</v>
      </c>
      <c r="C40">
        <v>51.3</v>
      </c>
      <c r="D40">
        <v>132</v>
      </c>
      <c r="E40">
        <v>135</v>
      </c>
      <c r="F40">
        <v>0.754</v>
      </c>
      <c r="G40">
        <v>0.71199999999999997</v>
      </c>
      <c r="H40">
        <v>7</v>
      </c>
      <c r="I40">
        <v>1.1000000000000001</v>
      </c>
      <c r="J40">
        <v>37.700000000000003</v>
      </c>
      <c r="K40">
        <v>31.6</v>
      </c>
      <c r="L40">
        <v>7.0000000000000007E-2</v>
      </c>
      <c r="M40">
        <v>2578.4</v>
      </c>
      <c r="N40">
        <v>2.08</v>
      </c>
      <c r="O40">
        <v>0.4</v>
      </c>
      <c r="S40" s="6"/>
      <c r="T40" s="6"/>
      <c r="U40" s="6"/>
      <c r="V40" s="6"/>
      <c r="W40" s="6"/>
      <c r="X40" s="6"/>
    </row>
    <row r="41" spans="1:24" x14ac:dyDescent="0.3">
      <c r="A41" t="s">
        <v>33</v>
      </c>
      <c r="B41" t="s">
        <v>22</v>
      </c>
      <c r="C41">
        <v>50.5</v>
      </c>
      <c r="D41">
        <v>150</v>
      </c>
      <c r="E41">
        <v>120</v>
      </c>
      <c r="F41">
        <v>0.51200000000000001</v>
      </c>
      <c r="G41">
        <v>0.71599999999999997</v>
      </c>
      <c r="H41">
        <v>2.4</v>
      </c>
      <c r="I41">
        <v>3.4</v>
      </c>
      <c r="J41">
        <v>32.5</v>
      </c>
      <c r="K41">
        <v>34.700000000000003</v>
      </c>
      <c r="L41">
        <v>0.08</v>
      </c>
      <c r="M41">
        <v>3959.9</v>
      </c>
      <c r="N41">
        <v>1.8</v>
      </c>
      <c r="O41">
        <v>0.84</v>
      </c>
      <c r="S41" s="6"/>
      <c r="T41" s="6"/>
      <c r="U41" s="6"/>
      <c r="V41" s="6"/>
      <c r="W41" s="6"/>
      <c r="X41" s="6"/>
    </row>
    <row r="42" spans="1:24" x14ac:dyDescent="0.3">
      <c r="A42" t="s">
        <v>54</v>
      </c>
      <c r="B42" t="s">
        <v>16</v>
      </c>
      <c r="C42">
        <v>50.2</v>
      </c>
      <c r="D42">
        <v>158</v>
      </c>
      <c r="E42">
        <v>99</v>
      </c>
      <c r="F42">
        <v>0.21</v>
      </c>
      <c r="G42">
        <v>0.77400000000000002</v>
      </c>
      <c r="H42">
        <v>4.0999999999999996</v>
      </c>
      <c r="I42">
        <v>2.1</v>
      </c>
      <c r="J42">
        <v>39.9</v>
      </c>
      <c r="K42">
        <v>27.4</v>
      </c>
      <c r="L42">
        <v>0.05</v>
      </c>
      <c r="M42">
        <v>4235.5</v>
      </c>
      <c r="N42">
        <v>2.1</v>
      </c>
      <c r="O42">
        <v>0.6</v>
      </c>
      <c r="S42" s="6"/>
      <c r="T42" s="6"/>
      <c r="U42" s="6"/>
      <c r="V42" s="6"/>
      <c r="W42" s="6"/>
      <c r="X42" s="6"/>
    </row>
    <row r="43" spans="1:24" x14ac:dyDescent="0.3">
      <c r="A43" t="s">
        <v>21</v>
      </c>
      <c r="B43" t="s">
        <v>16</v>
      </c>
      <c r="C43">
        <v>50</v>
      </c>
      <c r="D43">
        <v>174</v>
      </c>
      <c r="E43">
        <v>77</v>
      </c>
      <c r="F43">
        <v>0.77500000000000002</v>
      </c>
      <c r="G43">
        <v>0.73</v>
      </c>
      <c r="H43">
        <v>7</v>
      </c>
      <c r="I43">
        <v>2.2999999999999998</v>
      </c>
      <c r="J43">
        <v>36.4</v>
      </c>
      <c r="K43">
        <v>32.200000000000003</v>
      </c>
      <c r="L43">
        <v>0.09</v>
      </c>
      <c r="M43">
        <v>3778.3</v>
      </c>
      <c r="N43">
        <v>2.08</v>
      </c>
      <c r="O43">
        <v>0.5</v>
      </c>
      <c r="S43" s="6"/>
      <c r="T43" s="6"/>
      <c r="U43" s="6"/>
      <c r="V43" s="6"/>
      <c r="W43" s="6"/>
      <c r="X43" s="6"/>
    </row>
    <row r="44" spans="1:24" x14ac:dyDescent="0.3">
      <c r="A44" t="s">
        <v>53</v>
      </c>
      <c r="B44" t="s">
        <v>16</v>
      </c>
      <c r="C44">
        <v>47</v>
      </c>
      <c r="D44">
        <v>129</v>
      </c>
      <c r="E44">
        <v>134</v>
      </c>
      <c r="F44">
        <v>0.745</v>
      </c>
      <c r="G44">
        <v>0.72199999999999998</v>
      </c>
      <c r="H44">
        <v>7.2</v>
      </c>
      <c r="I44">
        <v>1.3</v>
      </c>
      <c r="J44">
        <v>37.6</v>
      </c>
      <c r="K44">
        <v>33.200000000000003</v>
      </c>
      <c r="L44">
        <v>0.09</v>
      </c>
      <c r="M44">
        <v>2775.4</v>
      </c>
      <c r="N44">
        <v>2.2000000000000002</v>
      </c>
      <c r="O44">
        <v>0.5</v>
      </c>
    </row>
    <row r="45" spans="1:24" x14ac:dyDescent="0.3">
      <c r="A45" t="s">
        <v>47</v>
      </c>
      <c r="B45" t="s">
        <v>16</v>
      </c>
      <c r="C45">
        <v>50</v>
      </c>
      <c r="D45">
        <v>159</v>
      </c>
      <c r="E45">
        <v>83</v>
      </c>
      <c r="F45">
        <v>0.65700000000000003</v>
      </c>
      <c r="G45">
        <v>0.73299999999999998</v>
      </c>
      <c r="H45">
        <v>6.3</v>
      </c>
      <c r="I45">
        <v>1.3</v>
      </c>
      <c r="J45">
        <v>36.200000000000003</v>
      </c>
      <c r="K45">
        <v>37.700000000000003</v>
      </c>
      <c r="L45">
        <v>0.04</v>
      </c>
      <c r="M45">
        <v>3789.3</v>
      </c>
      <c r="N45">
        <v>1.7</v>
      </c>
      <c r="O45">
        <v>0.33</v>
      </c>
    </row>
    <row r="46" spans="1:24" x14ac:dyDescent="0.3">
      <c r="A46" t="s">
        <v>60</v>
      </c>
      <c r="B46" t="s">
        <v>16</v>
      </c>
      <c r="C46">
        <v>50</v>
      </c>
      <c r="D46">
        <v>166.3</v>
      </c>
      <c r="E46">
        <v>85</v>
      </c>
      <c r="F46">
        <v>0.52300000000000002</v>
      </c>
      <c r="G46">
        <v>0.67600000000000005</v>
      </c>
      <c r="H46">
        <v>8.5</v>
      </c>
      <c r="I46">
        <v>1.3</v>
      </c>
      <c r="J46">
        <v>36.5</v>
      </c>
      <c r="K46">
        <v>35.200000000000003</v>
      </c>
      <c r="L46">
        <v>0.08</v>
      </c>
      <c r="M46">
        <v>4358.8</v>
      </c>
      <c r="N46">
        <v>2.2000000000000002</v>
      </c>
      <c r="O46">
        <v>0.57999999999999996</v>
      </c>
    </row>
    <row r="47" spans="1:24" x14ac:dyDescent="0.3">
      <c r="A47" t="s">
        <v>52</v>
      </c>
      <c r="B47" t="s">
        <v>16</v>
      </c>
      <c r="C47">
        <v>49.5</v>
      </c>
      <c r="D47">
        <v>128</v>
      </c>
      <c r="E47">
        <v>90</v>
      </c>
      <c r="F47">
        <v>0.66100000000000003</v>
      </c>
      <c r="G47">
        <v>0.65400000000000003</v>
      </c>
      <c r="H47">
        <v>1.3</v>
      </c>
      <c r="I47">
        <v>1.2</v>
      </c>
      <c r="J47">
        <v>36.9</v>
      </c>
      <c r="K47">
        <v>34.200000000000003</v>
      </c>
      <c r="L47">
        <v>0.06</v>
      </c>
      <c r="M47">
        <v>3987.4</v>
      </c>
      <c r="N47">
        <v>1.85</v>
      </c>
      <c r="O47">
        <v>0.14000000000000001</v>
      </c>
    </row>
    <row r="48" spans="1:24" x14ac:dyDescent="0.3">
      <c r="A48" t="s">
        <v>46</v>
      </c>
      <c r="B48" t="s">
        <v>16</v>
      </c>
      <c r="C48">
        <v>55.3</v>
      </c>
      <c r="D48">
        <v>147</v>
      </c>
      <c r="E48">
        <v>86</v>
      </c>
      <c r="F48">
        <v>0.161</v>
      </c>
      <c r="G48">
        <v>0.63300000000000001</v>
      </c>
      <c r="H48">
        <v>8.1999999999999993</v>
      </c>
      <c r="I48">
        <v>2.7</v>
      </c>
      <c r="J48">
        <v>37.299999999999997</v>
      </c>
      <c r="K48">
        <v>36.6</v>
      </c>
      <c r="L48">
        <v>0.08</v>
      </c>
      <c r="M48">
        <v>3352.2</v>
      </c>
      <c r="N48">
        <v>2.2000000000000002</v>
      </c>
      <c r="O48">
        <v>0.36</v>
      </c>
    </row>
    <row r="49" spans="1:15" x14ac:dyDescent="0.3">
      <c r="A49" t="s">
        <v>45</v>
      </c>
      <c r="B49" t="s">
        <v>22</v>
      </c>
      <c r="C49">
        <v>51.2</v>
      </c>
      <c r="D49">
        <v>148</v>
      </c>
      <c r="E49">
        <v>75</v>
      </c>
      <c r="F49">
        <v>0.35199999999999998</v>
      </c>
      <c r="G49">
        <v>0.61299999999999999</v>
      </c>
      <c r="H49">
        <v>1.7</v>
      </c>
      <c r="I49">
        <v>2.2999999999999998</v>
      </c>
      <c r="J49">
        <v>33.4</v>
      </c>
      <c r="K49">
        <v>37.299999999999997</v>
      </c>
      <c r="L49">
        <v>0.1</v>
      </c>
      <c r="M49">
        <v>3251.1</v>
      </c>
      <c r="N49">
        <v>1.6</v>
      </c>
      <c r="O49">
        <v>0.6</v>
      </c>
    </row>
    <row r="50" spans="1:15" x14ac:dyDescent="0.3">
      <c r="A50" t="s">
        <v>15</v>
      </c>
      <c r="B50" t="s">
        <v>29</v>
      </c>
      <c r="C50">
        <v>52.2</v>
      </c>
      <c r="D50">
        <v>129</v>
      </c>
      <c r="E50">
        <v>114</v>
      </c>
      <c r="F50">
        <v>0.44800000000000001</v>
      </c>
      <c r="G50">
        <v>0.72499999999999998</v>
      </c>
      <c r="H50">
        <v>1.2</v>
      </c>
      <c r="I50">
        <v>3.2</v>
      </c>
      <c r="J50">
        <v>34.299999999999997</v>
      </c>
      <c r="K50">
        <v>38.4</v>
      </c>
      <c r="L50">
        <v>0.09</v>
      </c>
      <c r="M50">
        <v>5372.6</v>
      </c>
      <c r="N50">
        <v>2.2000000000000002</v>
      </c>
      <c r="O50">
        <v>0.6</v>
      </c>
    </row>
    <row r="51" spans="1:15" x14ac:dyDescent="0.3">
      <c r="A51" t="s">
        <v>60</v>
      </c>
      <c r="B51" t="s">
        <v>22</v>
      </c>
      <c r="C51">
        <v>49.8</v>
      </c>
      <c r="D51">
        <v>167</v>
      </c>
      <c r="E51">
        <v>87</v>
      </c>
      <c r="F51">
        <v>0.51600000000000001</v>
      </c>
      <c r="G51">
        <v>0.624</v>
      </c>
      <c r="H51">
        <v>8.3000000000000007</v>
      </c>
      <c r="I51">
        <v>1.1000000000000001</v>
      </c>
      <c r="J51">
        <v>38</v>
      </c>
      <c r="K51">
        <v>32.6</v>
      </c>
      <c r="L51">
        <v>0.1</v>
      </c>
      <c r="M51">
        <v>4536.6000000000004</v>
      </c>
      <c r="N51">
        <v>2.08</v>
      </c>
      <c r="O51">
        <v>0.6</v>
      </c>
    </row>
    <row r="52" spans="1:15" x14ac:dyDescent="0.3">
      <c r="A52" t="s">
        <v>62</v>
      </c>
      <c r="B52" t="s">
        <v>29</v>
      </c>
      <c r="C52">
        <v>51</v>
      </c>
      <c r="D52">
        <v>129</v>
      </c>
      <c r="E52">
        <v>112</v>
      </c>
      <c r="F52">
        <v>0.54400000000000004</v>
      </c>
      <c r="G52">
        <v>0.66900000000000004</v>
      </c>
      <c r="H52">
        <v>2.2000000000000002</v>
      </c>
      <c r="I52">
        <v>2.2999999999999998</v>
      </c>
      <c r="J52">
        <v>37.4</v>
      </c>
      <c r="K52">
        <v>36.700000000000003</v>
      </c>
      <c r="L52">
        <v>0.1</v>
      </c>
      <c r="M52">
        <v>5675.7</v>
      </c>
      <c r="N52">
        <v>2.06</v>
      </c>
      <c r="O52">
        <v>0.43</v>
      </c>
    </row>
    <row r="53" spans="1:15" x14ac:dyDescent="0.3">
      <c r="A53" t="s">
        <v>19</v>
      </c>
      <c r="B53" t="s">
        <v>22</v>
      </c>
      <c r="C53">
        <v>50.4</v>
      </c>
      <c r="D53">
        <v>148.19999999999999</v>
      </c>
      <c r="E53">
        <v>85</v>
      </c>
      <c r="F53">
        <v>0.48</v>
      </c>
      <c r="G53">
        <v>0.625</v>
      </c>
      <c r="H53">
        <v>1.5</v>
      </c>
      <c r="I53">
        <v>1.7</v>
      </c>
      <c r="J53">
        <v>35.299999999999997</v>
      </c>
      <c r="K53">
        <v>33.5</v>
      </c>
      <c r="L53">
        <v>0.09</v>
      </c>
      <c r="M53">
        <v>4269.8</v>
      </c>
      <c r="N53">
        <v>2.2000000000000002</v>
      </c>
      <c r="O53">
        <v>0.12</v>
      </c>
    </row>
    <row r="54" spans="1:15" x14ac:dyDescent="0.3">
      <c r="A54" t="s">
        <v>57</v>
      </c>
      <c r="B54" t="s">
        <v>16</v>
      </c>
      <c r="C54">
        <v>50.3</v>
      </c>
      <c r="D54">
        <v>144.69999999999999</v>
      </c>
      <c r="E54">
        <v>137</v>
      </c>
      <c r="F54">
        <v>0.42299999999999999</v>
      </c>
      <c r="G54">
        <v>0.72199999999999998</v>
      </c>
      <c r="H54">
        <v>1.6</v>
      </c>
      <c r="I54">
        <v>2.2000000000000002</v>
      </c>
      <c r="J54">
        <v>33.6</v>
      </c>
      <c r="K54">
        <v>37.200000000000003</v>
      </c>
      <c r="L54">
        <v>7.0000000000000007E-2</v>
      </c>
      <c r="M54">
        <v>5214.5</v>
      </c>
      <c r="N54">
        <v>1.86</v>
      </c>
      <c r="O54">
        <v>0.7</v>
      </c>
    </row>
    <row r="55" spans="1:15" x14ac:dyDescent="0.3">
      <c r="A55" t="s">
        <v>62</v>
      </c>
      <c r="B55" t="s">
        <v>22</v>
      </c>
      <c r="C55">
        <v>50</v>
      </c>
      <c r="D55">
        <v>128</v>
      </c>
      <c r="E55">
        <v>128</v>
      </c>
      <c r="F55">
        <v>0.55400000000000005</v>
      </c>
      <c r="G55">
        <v>0.68300000000000005</v>
      </c>
      <c r="H55">
        <v>2.6</v>
      </c>
      <c r="I55">
        <v>2.1</v>
      </c>
      <c r="J55">
        <v>38.4</v>
      </c>
      <c r="K55">
        <v>35.299999999999997</v>
      </c>
      <c r="L55">
        <v>0.09</v>
      </c>
      <c r="M55">
        <v>5871.8</v>
      </c>
      <c r="N55">
        <v>2.2000000000000002</v>
      </c>
      <c r="O55">
        <v>0.42</v>
      </c>
    </row>
    <row r="56" spans="1:15" x14ac:dyDescent="0.3">
      <c r="A56" t="s">
        <v>54</v>
      </c>
      <c r="B56" t="s">
        <v>22</v>
      </c>
      <c r="C56">
        <v>51.6</v>
      </c>
      <c r="D56">
        <v>159.69999999999999</v>
      </c>
      <c r="E56">
        <v>97</v>
      </c>
      <c r="F56">
        <v>0.23</v>
      </c>
      <c r="G56">
        <v>0.752</v>
      </c>
      <c r="H56">
        <v>4.2</v>
      </c>
      <c r="I56">
        <v>2.2999999999999998</v>
      </c>
      <c r="J56">
        <v>36.6</v>
      </c>
      <c r="K56">
        <v>28.4</v>
      </c>
      <c r="L56">
        <v>0.03</v>
      </c>
      <c r="M56">
        <v>4197.5</v>
      </c>
      <c r="N56">
        <v>1.8</v>
      </c>
      <c r="O56">
        <v>0.6</v>
      </c>
    </row>
    <row r="57" spans="1:15" x14ac:dyDescent="0.3">
      <c r="A57" t="s">
        <v>44</v>
      </c>
      <c r="B57" t="s">
        <v>22</v>
      </c>
      <c r="C57">
        <v>53.3</v>
      </c>
      <c r="D57">
        <v>160</v>
      </c>
      <c r="E57">
        <v>130</v>
      </c>
      <c r="F57">
        <v>0.16500000000000001</v>
      </c>
      <c r="G57">
        <v>0.65100000000000002</v>
      </c>
      <c r="H57">
        <v>1.8</v>
      </c>
      <c r="I57">
        <v>3.2</v>
      </c>
      <c r="J57">
        <v>33.6</v>
      </c>
      <c r="K57">
        <v>34.5</v>
      </c>
      <c r="L57">
        <v>0.1</v>
      </c>
      <c r="M57">
        <v>5643.7</v>
      </c>
      <c r="N57">
        <v>2.6</v>
      </c>
      <c r="O57">
        <v>0.36</v>
      </c>
    </row>
    <row r="58" spans="1:15" x14ac:dyDescent="0.3">
      <c r="A58" t="s">
        <v>26</v>
      </c>
      <c r="B58" t="s">
        <v>16</v>
      </c>
      <c r="C58">
        <v>52.2</v>
      </c>
      <c r="D58">
        <v>156</v>
      </c>
      <c r="E58">
        <v>66</v>
      </c>
      <c r="F58">
        <v>0.29499999999999998</v>
      </c>
      <c r="G58">
        <v>0.63200000000000001</v>
      </c>
      <c r="H58">
        <v>6.9</v>
      </c>
      <c r="I58">
        <v>1.1000000000000001</v>
      </c>
      <c r="J58">
        <v>32.299999999999997</v>
      </c>
      <c r="K58">
        <v>35.299999999999997</v>
      </c>
      <c r="L58">
        <v>0.09</v>
      </c>
      <c r="M58">
        <v>3112.2</v>
      </c>
      <c r="N58">
        <v>2.1</v>
      </c>
      <c r="O58">
        <v>0.17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B15B-8CE5-4F38-B3FA-6E040D141BA2}">
  <dimension ref="A1:AA91"/>
  <sheetViews>
    <sheetView topLeftCell="M1" workbookViewId="0">
      <selection activeCell="T96" sqref="T96"/>
    </sheetView>
  </sheetViews>
  <sheetFormatPr defaultRowHeight="15.05" x14ac:dyDescent="0.3"/>
  <sheetData>
    <row r="1" spans="1:27" ht="15.65" thickBot="1" x14ac:dyDescent="0.35">
      <c r="A1" s="14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4" t="s">
        <v>12</v>
      </c>
      <c r="L1" s="14" t="s">
        <v>13</v>
      </c>
      <c r="M1" s="14" t="s">
        <v>14</v>
      </c>
    </row>
    <row r="2" spans="1:27" ht="15.65" thickBot="1" x14ac:dyDescent="0.35">
      <c r="A2">
        <v>50.5</v>
      </c>
      <c r="B2">
        <v>130.30000000000001</v>
      </c>
      <c r="C2">
        <v>111</v>
      </c>
      <c r="D2">
        <v>0.433</v>
      </c>
      <c r="E2">
        <v>0.73199999999999998</v>
      </c>
      <c r="F2">
        <v>1.4</v>
      </c>
      <c r="G2">
        <v>3.1</v>
      </c>
      <c r="H2">
        <v>33.200000000000003</v>
      </c>
      <c r="I2">
        <v>33.6</v>
      </c>
      <c r="J2">
        <v>0.08</v>
      </c>
      <c r="K2">
        <v>5567.4</v>
      </c>
      <c r="L2">
        <v>1.86</v>
      </c>
      <c r="M2">
        <v>0.82</v>
      </c>
      <c r="P2" s="9" t="s">
        <v>94</v>
      </c>
      <c r="Q2" s="9" t="s">
        <v>96</v>
      </c>
    </row>
    <row r="3" spans="1:27" x14ac:dyDescent="0.3">
      <c r="A3">
        <v>52.2</v>
      </c>
      <c r="B3">
        <v>150</v>
      </c>
      <c r="C3">
        <v>83</v>
      </c>
      <c r="D3">
        <v>0.49</v>
      </c>
      <c r="E3">
        <v>0.67700000000000005</v>
      </c>
      <c r="F3">
        <v>1.8</v>
      </c>
      <c r="G3">
        <v>1.3</v>
      </c>
      <c r="H3">
        <v>33.6</v>
      </c>
      <c r="I3">
        <v>35.200000000000003</v>
      </c>
      <c r="J3">
        <v>7.0000000000000007E-2</v>
      </c>
      <c r="K3">
        <v>4326.7</v>
      </c>
      <c r="L3">
        <v>2.04</v>
      </c>
      <c r="M3">
        <v>0.15</v>
      </c>
      <c r="P3" s="7">
        <v>47</v>
      </c>
      <c r="Q3" s="7">
        <v>1</v>
      </c>
      <c r="Z3" s="9" t="s">
        <v>94</v>
      </c>
      <c r="AA3" s="9" t="s">
        <v>96</v>
      </c>
    </row>
    <row r="4" spans="1:27" x14ac:dyDescent="0.3">
      <c r="A4">
        <v>49.2</v>
      </c>
      <c r="B4">
        <v>175.6</v>
      </c>
      <c r="C4">
        <v>73</v>
      </c>
      <c r="D4">
        <v>0.79500000000000004</v>
      </c>
      <c r="E4">
        <v>0.72499999999999998</v>
      </c>
      <c r="F4">
        <v>7.5</v>
      </c>
      <c r="G4">
        <v>2.1</v>
      </c>
      <c r="H4">
        <v>39.6</v>
      </c>
      <c r="I4">
        <v>31.2</v>
      </c>
      <c r="J4">
        <v>0.1</v>
      </c>
      <c r="K4">
        <v>3897.8</v>
      </c>
      <c r="L4">
        <v>1.88</v>
      </c>
      <c r="M4">
        <v>0.6</v>
      </c>
      <c r="P4" s="7">
        <v>48.185714285714283</v>
      </c>
      <c r="Q4" s="7">
        <v>3</v>
      </c>
      <c r="Z4" s="7">
        <v>1.1000000000000001</v>
      </c>
      <c r="AA4" s="7">
        <v>4</v>
      </c>
    </row>
    <row r="5" spans="1:27" x14ac:dyDescent="0.3">
      <c r="A5">
        <v>49.3</v>
      </c>
      <c r="B5">
        <v>155</v>
      </c>
      <c r="C5">
        <v>68</v>
      </c>
      <c r="D5">
        <v>0.29799999999999999</v>
      </c>
      <c r="E5">
        <v>0.67200000000000004</v>
      </c>
      <c r="F5">
        <v>7.2</v>
      </c>
      <c r="G5">
        <v>1.2</v>
      </c>
      <c r="H5">
        <v>31.1</v>
      </c>
      <c r="I5">
        <v>38.1</v>
      </c>
      <c r="J5">
        <v>0.06</v>
      </c>
      <c r="K5">
        <v>3104.6</v>
      </c>
      <c r="L5">
        <v>1.8</v>
      </c>
      <c r="M5">
        <v>0.18</v>
      </c>
      <c r="P5" s="7">
        <v>49.371428571428574</v>
      </c>
      <c r="Q5" s="7">
        <v>8</v>
      </c>
      <c r="Z5" s="7">
        <v>1.4428571428571431</v>
      </c>
      <c r="AA5" s="7">
        <v>10</v>
      </c>
    </row>
    <row r="6" spans="1:27" x14ac:dyDescent="0.3">
      <c r="A6">
        <v>50.2</v>
      </c>
      <c r="B6">
        <v>129</v>
      </c>
      <c r="C6">
        <v>127</v>
      </c>
      <c r="D6">
        <v>0.317</v>
      </c>
      <c r="E6">
        <v>0.629</v>
      </c>
      <c r="F6">
        <v>10</v>
      </c>
      <c r="G6">
        <v>2.6</v>
      </c>
      <c r="H6">
        <v>38.1</v>
      </c>
      <c r="I6">
        <v>34.5</v>
      </c>
      <c r="J6">
        <v>0.05</v>
      </c>
      <c r="K6">
        <v>5205.8</v>
      </c>
      <c r="L6">
        <v>2.6</v>
      </c>
      <c r="M6">
        <v>0.32</v>
      </c>
      <c r="P6" s="7">
        <v>50.557142857142857</v>
      </c>
      <c r="Q6" s="7">
        <v>18</v>
      </c>
      <c r="Z6" s="7">
        <v>1.7857142857142858</v>
      </c>
      <c r="AA6" s="7">
        <v>2</v>
      </c>
    </row>
    <row r="7" spans="1:27" x14ac:dyDescent="0.3">
      <c r="A7">
        <v>52.2</v>
      </c>
      <c r="B7">
        <v>147</v>
      </c>
      <c r="C7">
        <v>122</v>
      </c>
      <c r="D7">
        <v>0.55300000000000005</v>
      </c>
      <c r="E7">
        <v>0.622</v>
      </c>
      <c r="F7">
        <v>2.2000000000000002</v>
      </c>
      <c r="G7">
        <v>3</v>
      </c>
      <c r="H7">
        <v>33.799999999999997</v>
      </c>
      <c r="I7">
        <v>32.200000000000003</v>
      </c>
      <c r="J7">
        <v>0.06</v>
      </c>
      <c r="K7">
        <v>4486.7</v>
      </c>
      <c r="L7">
        <v>1.9</v>
      </c>
      <c r="M7">
        <v>0.7</v>
      </c>
      <c r="P7" s="7">
        <v>51.74285714285714</v>
      </c>
      <c r="Q7" s="7">
        <v>11</v>
      </c>
      <c r="Z7" s="7">
        <v>2.1285714285714286</v>
      </c>
      <c r="AA7" s="7">
        <v>7</v>
      </c>
    </row>
    <row r="8" spans="1:27" x14ac:dyDescent="0.3">
      <c r="A8">
        <v>54.3</v>
      </c>
      <c r="B8">
        <v>159</v>
      </c>
      <c r="C8">
        <v>102</v>
      </c>
      <c r="D8">
        <v>0.61299999999999999</v>
      </c>
      <c r="E8">
        <v>0.71</v>
      </c>
      <c r="F8">
        <v>9.1999999999999993</v>
      </c>
      <c r="G8">
        <v>2.1</v>
      </c>
      <c r="H8">
        <v>39.1</v>
      </c>
      <c r="I8">
        <v>29.9</v>
      </c>
      <c r="J8">
        <v>0.06</v>
      </c>
      <c r="K8">
        <v>5803.1</v>
      </c>
      <c r="L8">
        <v>2.6</v>
      </c>
      <c r="M8">
        <v>0.3</v>
      </c>
      <c r="P8" s="7">
        <v>52.928571428571423</v>
      </c>
      <c r="Q8" s="7">
        <v>9</v>
      </c>
      <c r="Z8" s="7">
        <v>2.4714285714285715</v>
      </c>
      <c r="AA8" s="7">
        <v>12</v>
      </c>
    </row>
    <row r="9" spans="1:27" x14ac:dyDescent="0.3">
      <c r="A9">
        <v>50.3</v>
      </c>
      <c r="B9">
        <v>141.19999999999999</v>
      </c>
      <c r="C9">
        <v>71</v>
      </c>
      <c r="D9">
        <v>0.84</v>
      </c>
      <c r="E9">
        <v>0.63900000000000001</v>
      </c>
      <c r="F9">
        <v>1.1000000000000001</v>
      </c>
      <c r="G9">
        <v>3</v>
      </c>
      <c r="H9">
        <v>35.299999999999997</v>
      </c>
      <c r="I9">
        <v>32.1</v>
      </c>
      <c r="J9">
        <v>7.0000000000000007E-2</v>
      </c>
      <c r="K9">
        <v>3211.1</v>
      </c>
      <c r="L9">
        <v>2.2000000000000002</v>
      </c>
      <c r="M9">
        <v>0.4</v>
      </c>
      <c r="P9" s="7">
        <v>54.114285714285714</v>
      </c>
      <c r="Q9" s="7">
        <v>3</v>
      </c>
      <c r="Z9" s="7">
        <v>2.8142857142857145</v>
      </c>
      <c r="AA9" s="7">
        <v>3</v>
      </c>
    </row>
    <row r="10" spans="1:27" ht="15.65" thickBot="1" x14ac:dyDescent="0.35">
      <c r="A10">
        <v>51.3</v>
      </c>
      <c r="B10">
        <v>136.19999999999999</v>
      </c>
      <c r="C10">
        <v>66</v>
      </c>
      <c r="D10">
        <v>0.88200000000000001</v>
      </c>
      <c r="E10">
        <v>0.66200000000000003</v>
      </c>
      <c r="F10">
        <v>1.7</v>
      </c>
      <c r="G10">
        <v>3</v>
      </c>
      <c r="H10">
        <v>34.4</v>
      </c>
      <c r="I10">
        <v>35.299999999999997</v>
      </c>
      <c r="J10">
        <v>0.04</v>
      </c>
      <c r="K10">
        <v>3227.7</v>
      </c>
      <c r="L10">
        <v>2.08</v>
      </c>
      <c r="M10">
        <v>0.6</v>
      </c>
      <c r="P10" s="8" t="s">
        <v>95</v>
      </c>
      <c r="Q10" s="8">
        <v>4</v>
      </c>
      <c r="Z10" s="7">
        <v>3.157142857142857</v>
      </c>
      <c r="AA10" s="7">
        <v>9</v>
      </c>
    </row>
    <row r="11" spans="1:27" ht="15.65" thickBot="1" x14ac:dyDescent="0.35">
      <c r="A11">
        <v>50</v>
      </c>
      <c r="B11">
        <v>137.30000000000001</v>
      </c>
      <c r="C11">
        <v>65</v>
      </c>
      <c r="D11">
        <v>0.86099999999999999</v>
      </c>
      <c r="E11">
        <v>0.67400000000000004</v>
      </c>
      <c r="F11">
        <v>1.8</v>
      </c>
      <c r="G11">
        <v>3.2</v>
      </c>
      <c r="H11">
        <v>33</v>
      </c>
      <c r="I11">
        <v>37.1</v>
      </c>
      <c r="J11">
        <v>0.03</v>
      </c>
      <c r="K11">
        <v>3584.7</v>
      </c>
      <c r="L11">
        <v>2.2000000000000002</v>
      </c>
      <c r="M11">
        <v>0.48</v>
      </c>
      <c r="Z11" s="8" t="s">
        <v>95</v>
      </c>
      <c r="AA11" s="8">
        <v>10</v>
      </c>
    </row>
    <row r="12" spans="1:27" x14ac:dyDescent="0.3">
      <c r="A12">
        <v>52.6</v>
      </c>
      <c r="B12">
        <v>158</v>
      </c>
      <c r="C12">
        <v>129</v>
      </c>
      <c r="D12">
        <v>0.16200000000000001</v>
      </c>
      <c r="E12">
        <v>0.69199999999999995</v>
      </c>
      <c r="F12">
        <v>1.7</v>
      </c>
      <c r="G12">
        <v>3.1</v>
      </c>
      <c r="H12">
        <v>37.6</v>
      </c>
      <c r="I12">
        <v>37.700000000000003</v>
      </c>
      <c r="J12">
        <v>0.09</v>
      </c>
      <c r="K12">
        <v>5128.3999999999996</v>
      </c>
      <c r="L12">
        <v>2.6</v>
      </c>
      <c r="M12">
        <v>0.48</v>
      </c>
    </row>
    <row r="13" spans="1:27" x14ac:dyDescent="0.3">
      <c r="A13">
        <v>50.3</v>
      </c>
      <c r="B13">
        <v>150</v>
      </c>
      <c r="C13">
        <v>77</v>
      </c>
      <c r="D13">
        <v>0.44500000000000001</v>
      </c>
      <c r="E13">
        <v>0.626</v>
      </c>
      <c r="F13">
        <v>1.5</v>
      </c>
      <c r="G13">
        <v>2.2000000000000002</v>
      </c>
      <c r="H13">
        <v>32.9</v>
      </c>
      <c r="I13">
        <v>35.4</v>
      </c>
      <c r="J13">
        <v>0.09</v>
      </c>
      <c r="K13">
        <v>4423.6000000000004</v>
      </c>
      <c r="L13">
        <v>1.7</v>
      </c>
      <c r="M13">
        <v>0.84</v>
      </c>
    </row>
    <row r="14" spans="1:27" x14ac:dyDescent="0.3">
      <c r="A14">
        <v>55.3</v>
      </c>
      <c r="B14">
        <v>145</v>
      </c>
      <c r="C14">
        <v>88</v>
      </c>
      <c r="D14">
        <v>0.16500000000000001</v>
      </c>
      <c r="E14">
        <v>0.60099999999999998</v>
      </c>
      <c r="F14">
        <v>8.5</v>
      </c>
      <c r="G14">
        <v>2.2999999999999998</v>
      </c>
      <c r="H14">
        <v>36.200000000000003</v>
      </c>
      <c r="I14">
        <v>33.200000000000003</v>
      </c>
      <c r="J14">
        <v>0.1</v>
      </c>
      <c r="K14">
        <v>3185.4</v>
      </c>
      <c r="L14">
        <v>1.82</v>
      </c>
      <c r="M14">
        <v>0.32</v>
      </c>
    </row>
    <row r="15" spans="1:27" ht="15.65" thickBot="1" x14ac:dyDescent="0.35">
      <c r="A15">
        <v>49.2</v>
      </c>
      <c r="B15">
        <v>162.6</v>
      </c>
      <c r="C15">
        <v>81</v>
      </c>
      <c r="D15">
        <v>0.64500000000000002</v>
      </c>
      <c r="E15">
        <v>0.71</v>
      </c>
      <c r="F15">
        <v>6.7</v>
      </c>
      <c r="G15">
        <v>1.2</v>
      </c>
      <c r="H15">
        <v>37</v>
      </c>
      <c r="I15">
        <v>33.9</v>
      </c>
      <c r="J15">
        <v>0.02</v>
      </c>
      <c r="K15">
        <v>3973.1</v>
      </c>
      <c r="L15">
        <v>1.87</v>
      </c>
      <c r="M15">
        <v>0.36</v>
      </c>
    </row>
    <row r="16" spans="1:27" ht="15.65" thickBot="1" x14ac:dyDescent="0.35">
      <c r="A16">
        <v>51.3</v>
      </c>
      <c r="B16">
        <v>130</v>
      </c>
      <c r="C16">
        <v>72</v>
      </c>
      <c r="D16">
        <v>0.998</v>
      </c>
      <c r="E16">
        <v>0.65400000000000003</v>
      </c>
      <c r="F16">
        <v>1.7</v>
      </c>
      <c r="G16">
        <v>3.2</v>
      </c>
      <c r="H16">
        <v>31.7</v>
      </c>
      <c r="I16">
        <v>31.1</v>
      </c>
      <c r="J16">
        <v>0.09</v>
      </c>
      <c r="K16">
        <v>2432.3000000000002</v>
      </c>
      <c r="L16">
        <v>1.8</v>
      </c>
      <c r="M16">
        <v>0.83</v>
      </c>
      <c r="P16" s="9" t="s">
        <v>94</v>
      </c>
      <c r="Q16" s="9" t="s">
        <v>96</v>
      </c>
    </row>
    <row r="17" spans="1:27" x14ac:dyDescent="0.3">
      <c r="A17">
        <v>51.2</v>
      </c>
      <c r="B17">
        <v>149</v>
      </c>
      <c r="C17">
        <v>123</v>
      </c>
      <c r="D17">
        <v>0.502</v>
      </c>
      <c r="E17">
        <v>0.66300000000000003</v>
      </c>
      <c r="F17">
        <v>2.1</v>
      </c>
      <c r="G17">
        <v>3.1</v>
      </c>
      <c r="H17">
        <v>39.1</v>
      </c>
      <c r="I17">
        <v>33.6</v>
      </c>
      <c r="J17">
        <v>0.09</v>
      </c>
      <c r="K17">
        <v>4213.5</v>
      </c>
      <c r="L17">
        <v>1.7</v>
      </c>
      <c r="M17">
        <v>0.6</v>
      </c>
      <c r="P17" s="7">
        <v>127</v>
      </c>
      <c r="Q17" s="7">
        <v>2</v>
      </c>
      <c r="Z17" s="9" t="s">
        <v>94</v>
      </c>
      <c r="AA17" s="9" t="s">
        <v>96</v>
      </c>
    </row>
    <row r="18" spans="1:27" x14ac:dyDescent="0.3">
      <c r="A18">
        <v>52.7</v>
      </c>
      <c r="B18">
        <v>142</v>
      </c>
      <c r="C18">
        <v>70</v>
      </c>
      <c r="D18">
        <v>0.182</v>
      </c>
      <c r="E18">
        <v>0.61799999999999999</v>
      </c>
      <c r="F18">
        <v>1.2</v>
      </c>
      <c r="G18">
        <v>3.2</v>
      </c>
      <c r="H18">
        <v>37.700000000000003</v>
      </c>
      <c r="I18">
        <v>31.8</v>
      </c>
      <c r="J18">
        <v>0.05</v>
      </c>
      <c r="K18">
        <v>3161.5</v>
      </c>
      <c r="L18">
        <v>2.08</v>
      </c>
      <c r="M18">
        <v>0.6</v>
      </c>
      <c r="P18" s="7">
        <v>133.94285714285715</v>
      </c>
      <c r="Q18" s="7">
        <v>16</v>
      </c>
      <c r="Z18" s="7">
        <v>31.1</v>
      </c>
      <c r="AA18" s="7">
        <v>1</v>
      </c>
    </row>
    <row r="19" spans="1:27" x14ac:dyDescent="0.3">
      <c r="A19">
        <v>50</v>
      </c>
      <c r="B19">
        <v>127</v>
      </c>
      <c r="C19">
        <v>124</v>
      </c>
      <c r="D19">
        <v>0.32200000000000001</v>
      </c>
      <c r="E19">
        <v>0.61199999999999999</v>
      </c>
      <c r="F19">
        <v>9.9</v>
      </c>
      <c r="G19">
        <v>2.1</v>
      </c>
      <c r="H19">
        <v>35.4</v>
      </c>
      <c r="I19">
        <v>33.299999999999997</v>
      </c>
      <c r="J19">
        <v>0.04</v>
      </c>
      <c r="K19">
        <v>5123.6000000000004</v>
      </c>
      <c r="L19">
        <v>1.86</v>
      </c>
      <c r="M19">
        <v>0.4</v>
      </c>
      <c r="P19" s="7">
        <v>140.88571428571427</v>
      </c>
      <c r="Q19" s="7">
        <v>3</v>
      </c>
      <c r="Z19" s="7">
        <v>32.357142857142861</v>
      </c>
      <c r="AA19" s="7">
        <v>5</v>
      </c>
    </row>
    <row r="20" spans="1:27" x14ac:dyDescent="0.3">
      <c r="A20">
        <v>55.3</v>
      </c>
      <c r="B20">
        <v>146</v>
      </c>
      <c r="C20">
        <v>85</v>
      </c>
      <c r="D20">
        <v>0.16200000000000001</v>
      </c>
      <c r="E20">
        <v>0.59799999999999998</v>
      </c>
      <c r="F20">
        <v>8</v>
      </c>
      <c r="G20">
        <v>2.2000000000000002</v>
      </c>
      <c r="H20">
        <v>33.200000000000003</v>
      </c>
      <c r="I20">
        <v>35.200000000000003</v>
      </c>
      <c r="J20">
        <v>0.09</v>
      </c>
      <c r="K20">
        <v>3123.8</v>
      </c>
      <c r="L20">
        <v>2.1</v>
      </c>
      <c r="M20">
        <v>0.33</v>
      </c>
      <c r="P20" s="7">
        <v>147.82857142857142</v>
      </c>
      <c r="Q20" s="7">
        <v>10</v>
      </c>
      <c r="Z20" s="7">
        <v>33.614285714285714</v>
      </c>
      <c r="AA20" s="7">
        <v>13</v>
      </c>
    </row>
    <row r="21" spans="1:27" x14ac:dyDescent="0.3">
      <c r="A21">
        <v>47.3</v>
      </c>
      <c r="B21">
        <v>127</v>
      </c>
      <c r="C21">
        <v>93</v>
      </c>
      <c r="D21">
        <v>0.65600000000000003</v>
      </c>
      <c r="E21">
        <v>0.69799999999999995</v>
      </c>
      <c r="F21">
        <v>1.2</v>
      </c>
      <c r="G21">
        <v>1.1000000000000001</v>
      </c>
      <c r="H21">
        <v>37.200000000000003</v>
      </c>
      <c r="I21">
        <v>34.5</v>
      </c>
      <c r="J21">
        <v>0.06</v>
      </c>
      <c r="K21">
        <v>4758.3999999999996</v>
      </c>
      <c r="L21">
        <v>1.86</v>
      </c>
      <c r="M21">
        <v>0.16</v>
      </c>
      <c r="P21" s="7">
        <v>154.77142857142857</v>
      </c>
      <c r="Q21" s="7">
        <v>9</v>
      </c>
      <c r="Z21" s="7">
        <v>34.871428571428574</v>
      </c>
      <c r="AA21" s="7">
        <v>3</v>
      </c>
    </row>
    <row r="22" spans="1:27" x14ac:dyDescent="0.3">
      <c r="A22">
        <v>49</v>
      </c>
      <c r="B22">
        <v>132.69999999999999</v>
      </c>
      <c r="C22">
        <v>137</v>
      </c>
      <c r="D22">
        <v>0.77200000000000002</v>
      </c>
      <c r="E22">
        <v>0.72</v>
      </c>
      <c r="F22">
        <v>7.4</v>
      </c>
      <c r="G22">
        <v>1.2</v>
      </c>
      <c r="H22">
        <v>39.9</v>
      </c>
      <c r="I22">
        <v>34.299999999999997</v>
      </c>
      <c r="J22">
        <v>0.09</v>
      </c>
      <c r="K22">
        <v>2877.5</v>
      </c>
      <c r="L22">
        <v>1.86</v>
      </c>
      <c r="M22">
        <v>0.6</v>
      </c>
      <c r="P22" s="7">
        <v>161.71428571428572</v>
      </c>
      <c r="Q22" s="7">
        <v>12</v>
      </c>
      <c r="Z22" s="7">
        <v>36.128571428571426</v>
      </c>
      <c r="AA22" s="7">
        <v>5</v>
      </c>
    </row>
    <row r="23" spans="1:27" x14ac:dyDescent="0.3">
      <c r="A23">
        <v>53.4</v>
      </c>
      <c r="B23">
        <v>161</v>
      </c>
      <c r="C23">
        <v>100</v>
      </c>
      <c r="D23">
        <v>0.61</v>
      </c>
      <c r="E23">
        <v>0.72099999999999997</v>
      </c>
      <c r="F23">
        <v>8.9</v>
      </c>
      <c r="G23">
        <v>2.2000000000000002</v>
      </c>
      <c r="H23">
        <v>31.9</v>
      </c>
      <c r="I23">
        <v>28.9</v>
      </c>
      <c r="J23">
        <v>0.09</v>
      </c>
      <c r="K23">
        <v>5443.6</v>
      </c>
      <c r="L23">
        <v>2.6</v>
      </c>
      <c r="M23">
        <v>0.4</v>
      </c>
      <c r="P23" s="7">
        <v>168.65714285714284</v>
      </c>
      <c r="Q23" s="7">
        <v>3</v>
      </c>
      <c r="Z23" s="7">
        <v>37.385714285714286</v>
      </c>
      <c r="AA23" s="7">
        <v>11</v>
      </c>
    </row>
    <row r="24" spans="1:27" ht="15.65" thickBot="1" x14ac:dyDescent="0.35">
      <c r="A24">
        <v>50.3</v>
      </c>
      <c r="B24">
        <v>157.69999999999999</v>
      </c>
      <c r="C24">
        <v>98</v>
      </c>
      <c r="D24">
        <v>0.25</v>
      </c>
      <c r="E24">
        <v>0.76500000000000001</v>
      </c>
      <c r="F24">
        <v>3.8</v>
      </c>
      <c r="G24">
        <v>2.2000000000000002</v>
      </c>
      <c r="H24">
        <v>38.700000000000003</v>
      </c>
      <c r="I24">
        <v>29.2</v>
      </c>
      <c r="J24">
        <v>0.04</v>
      </c>
      <c r="K24">
        <v>4687.3999999999996</v>
      </c>
      <c r="L24">
        <v>1.9</v>
      </c>
      <c r="M24">
        <v>0.42</v>
      </c>
      <c r="P24" s="8" t="s">
        <v>95</v>
      </c>
      <c r="Q24" s="8">
        <v>2</v>
      </c>
      <c r="Z24" s="7">
        <v>38.642857142857139</v>
      </c>
      <c r="AA24" s="7">
        <v>12</v>
      </c>
    </row>
    <row r="25" spans="1:27" ht="15.65" thickBot="1" x14ac:dyDescent="0.35">
      <c r="A25">
        <v>47.4</v>
      </c>
      <c r="B25">
        <v>150.5</v>
      </c>
      <c r="C25">
        <v>84</v>
      </c>
      <c r="D25">
        <v>0.33100000000000002</v>
      </c>
      <c r="E25">
        <v>0.73899999999999999</v>
      </c>
      <c r="F25">
        <v>1</v>
      </c>
      <c r="G25">
        <v>2.9</v>
      </c>
      <c r="H25">
        <v>32.1</v>
      </c>
      <c r="I25">
        <v>39.700000000000003</v>
      </c>
      <c r="J25">
        <v>0.03</v>
      </c>
      <c r="K25">
        <v>4413.8999999999996</v>
      </c>
      <c r="L25">
        <v>2.0499999999999998</v>
      </c>
      <c r="M25">
        <v>0.78</v>
      </c>
      <c r="Z25" s="8" t="s">
        <v>95</v>
      </c>
      <c r="AA25" s="8">
        <v>7</v>
      </c>
    </row>
    <row r="26" spans="1:27" x14ac:dyDescent="0.3">
      <c r="A26">
        <v>50.6</v>
      </c>
      <c r="B26">
        <v>141</v>
      </c>
      <c r="C26">
        <v>69</v>
      </c>
      <c r="D26">
        <v>0.18</v>
      </c>
      <c r="E26">
        <v>0.623</v>
      </c>
      <c r="F26">
        <v>1.3</v>
      </c>
      <c r="G26">
        <v>3.3</v>
      </c>
      <c r="H26">
        <v>37.299999999999997</v>
      </c>
      <c r="I26">
        <v>30.6</v>
      </c>
      <c r="J26">
        <v>0.06</v>
      </c>
      <c r="K26">
        <v>3112.2</v>
      </c>
      <c r="L26">
        <v>2.1</v>
      </c>
      <c r="M26">
        <v>0.5</v>
      </c>
    </row>
    <row r="27" spans="1:27" x14ac:dyDescent="0.3">
      <c r="A27">
        <v>52</v>
      </c>
      <c r="B27">
        <v>135.9</v>
      </c>
      <c r="C27">
        <v>63</v>
      </c>
      <c r="D27">
        <v>0.83199999999999996</v>
      </c>
      <c r="E27">
        <v>0.61099999999999999</v>
      </c>
      <c r="F27">
        <v>1.4</v>
      </c>
      <c r="G27">
        <v>3.1</v>
      </c>
      <c r="H27">
        <v>33.6</v>
      </c>
      <c r="I27">
        <v>37.6</v>
      </c>
      <c r="J27">
        <v>0.05</v>
      </c>
      <c r="K27">
        <v>3321.5</v>
      </c>
      <c r="L27">
        <v>1.9</v>
      </c>
      <c r="M27">
        <v>0.6</v>
      </c>
    </row>
    <row r="28" spans="1:27" x14ac:dyDescent="0.3">
      <c r="A28">
        <v>53.2</v>
      </c>
      <c r="B28">
        <v>129</v>
      </c>
      <c r="C28">
        <v>73</v>
      </c>
      <c r="D28">
        <v>0.98899999999999999</v>
      </c>
      <c r="E28">
        <v>0.67300000000000004</v>
      </c>
      <c r="F28">
        <v>1.6</v>
      </c>
      <c r="G28">
        <v>3.1</v>
      </c>
      <c r="H28">
        <v>33</v>
      </c>
      <c r="I28">
        <v>30.3</v>
      </c>
      <c r="J28">
        <v>7.0000000000000007E-2</v>
      </c>
      <c r="K28">
        <v>2334.1999999999998</v>
      </c>
      <c r="L28">
        <v>1.88</v>
      </c>
      <c r="M28">
        <v>0.78</v>
      </c>
    </row>
    <row r="29" spans="1:27" ht="15.65" thickBot="1" x14ac:dyDescent="0.35">
      <c r="A29">
        <v>49.2</v>
      </c>
      <c r="B29">
        <v>148</v>
      </c>
      <c r="C29">
        <v>83</v>
      </c>
      <c r="D29">
        <v>0.46</v>
      </c>
      <c r="E29">
        <v>0.626</v>
      </c>
      <c r="F29">
        <v>1.4</v>
      </c>
      <c r="G29">
        <v>1.2</v>
      </c>
      <c r="H29">
        <v>32.1</v>
      </c>
      <c r="I29">
        <v>32.200000000000003</v>
      </c>
      <c r="J29">
        <v>7.0000000000000007E-2</v>
      </c>
      <c r="K29">
        <v>4234.5</v>
      </c>
      <c r="L29">
        <v>2.2000000000000002</v>
      </c>
      <c r="M29">
        <v>0.14000000000000001</v>
      </c>
    </row>
    <row r="30" spans="1:27" x14ac:dyDescent="0.3">
      <c r="A30">
        <v>49</v>
      </c>
      <c r="B30">
        <v>127.5</v>
      </c>
      <c r="C30">
        <v>126</v>
      </c>
      <c r="D30">
        <v>0.314</v>
      </c>
      <c r="E30">
        <v>0.621</v>
      </c>
      <c r="F30">
        <v>10.199999999999999</v>
      </c>
      <c r="G30">
        <v>2.2000000000000002</v>
      </c>
      <c r="H30">
        <v>37.6</v>
      </c>
      <c r="I30">
        <v>35.4</v>
      </c>
      <c r="J30">
        <v>0.03</v>
      </c>
      <c r="K30">
        <v>5103.8999999999996</v>
      </c>
      <c r="L30">
        <v>2.4</v>
      </c>
      <c r="M30">
        <v>0.42</v>
      </c>
      <c r="P30" s="9" t="s">
        <v>94</v>
      </c>
      <c r="Q30" s="9" t="s">
        <v>96</v>
      </c>
      <c r="Z30" s="9" t="s">
        <v>94</v>
      </c>
      <c r="AA30" s="9" t="s">
        <v>96</v>
      </c>
    </row>
    <row r="31" spans="1:27" x14ac:dyDescent="0.3">
      <c r="A31">
        <v>48.3</v>
      </c>
      <c r="B31">
        <v>152</v>
      </c>
      <c r="C31">
        <v>78</v>
      </c>
      <c r="D31">
        <v>0.34399999999999997</v>
      </c>
      <c r="E31">
        <v>0.72199999999999998</v>
      </c>
      <c r="F31">
        <v>1.4</v>
      </c>
      <c r="G31">
        <v>2.1</v>
      </c>
      <c r="H31">
        <v>36.6</v>
      </c>
      <c r="I31">
        <v>33.200000000000003</v>
      </c>
      <c r="J31">
        <v>0.09</v>
      </c>
      <c r="K31">
        <v>4357.7</v>
      </c>
      <c r="L31">
        <v>1.4</v>
      </c>
      <c r="M31">
        <v>0.7</v>
      </c>
      <c r="P31" s="7">
        <v>63</v>
      </c>
      <c r="Q31" s="7">
        <v>1</v>
      </c>
      <c r="Z31" s="7">
        <v>27.4</v>
      </c>
      <c r="AA31" s="7">
        <v>1</v>
      </c>
    </row>
    <row r="32" spans="1:27" x14ac:dyDescent="0.3">
      <c r="A32">
        <v>52.8</v>
      </c>
      <c r="B32">
        <v>143</v>
      </c>
      <c r="C32">
        <v>138</v>
      </c>
      <c r="D32">
        <v>0.46300000000000002</v>
      </c>
      <c r="E32">
        <v>0.70599999999999996</v>
      </c>
      <c r="F32">
        <v>1.7</v>
      </c>
      <c r="G32">
        <v>2.8</v>
      </c>
      <c r="H32">
        <v>33.5</v>
      </c>
      <c r="I32">
        <v>36.1</v>
      </c>
      <c r="J32">
        <v>0.09</v>
      </c>
      <c r="K32">
        <v>5990.3</v>
      </c>
      <c r="L32">
        <v>2.4</v>
      </c>
      <c r="M32">
        <v>0.6</v>
      </c>
      <c r="P32" s="7">
        <v>73.714285714285708</v>
      </c>
      <c r="Q32" s="7">
        <v>12</v>
      </c>
      <c r="Z32" s="7">
        <v>29.157142857142855</v>
      </c>
      <c r="AA32" s="7">
        <v>2</v>
      </c>
    </row>
    <row r="33" spans="1:27" x14ac:dyDescent="0.3">
      <c r="A33">
        <v>52.2</v>
      </c>
      <c r="B33">
        <v>159</v>
      </c>
      <c r="C33">
        <v>131</v>
      </c>
      <c r="D33">
        <v>0.16300000000000001</v>
      </c>
      <c r="E33">
        <v>0.65400000000000003</v>
      </c>
      <c r="F33">
        <v>1.5</v>
      </c>
      <c r="G33">
        <v>3.2</v>
      </c>
      <c r="H33">
        <v>35.299999999999997</v>
      </c>
      <c r="I33">
        <v>34.299999999999997</v>
      </c>
      <c r="J33">
        <v>0.09</v>
      </c>
      <c r="K33">
        <v>5453.4</v>
      </c>
      <c r="L33">
        <v>2.2000000000000002</v>
      </c>
      <c r="M33">
        <v>0.23</v>
      </c>
      <c r="P33" s="7">
        <v>84.428571428571431</v>
      </c>
      <c r="Q33" s="7">
        <v>9</v>
      </c>
      <c r="Z33" s="7">
        <v>30.914285714285715</v>
      </c>
      <c r="AA33" s="7">
        <v>5</v>
      </c>
    </row>
    <row r="34" spans="1:27" x14ac:dyDescent="0.3">
      <c r="A34">
        <v>51</v>
      </c>
      <c r="B34">
        <v>128.9</v>
      </c>
      <c r="C34">
        <v>70</v>
      </c>
      <c r="D34">
        <v>1.1000000000000001</v>
      </c>
      <c r="E34">
        <v>0.66</v>
      </c>
      <c r="F34">
        <v>1.5</v>
      </c>
      <c r="G34">
        <v>3.3</v>
      </c>
      <c r="H34">
        <v>39.6</v>
      </c>
      <c r="I34">
        <v>29.6</v>
      </c>
      <c r="J34">
        <v>0.08</v>
      </c>
      <c r="K34">
        <v>2567.9</v>
      </c>
      <c r="L34">
        <v>1.8</v>
      </c>
      <c r="M34">
        <v>0.84</v>
      </c>
      <c r="P34" s="7">
        <v>95.142857142857139</v>
      </c>
      <c r="Q34" s="7">
        <v>9</v>
      </c>
      <c r="Z34" s="7">
        <v>32.671428571428571</v>
      </c>
      <c r="AA34" s="7">
        <v>9</v>
      </c>
    </row>
    <row r="35" spans="1:27" x14ac:dyDescent="0.3">
      <c r="A35">
        <v>47.7</v>
      </c>
      <c r="B35">
        <v>157</v>
      </c>
      <c r="C35">
        <v>65</v>
      </c>
      <c r="D35">
        <v>0.29399999999999998</v>
      </c>
      <c r="E35">
        <v>0.625</v>
      </c>
      <c r="F35">
        <v>7.1</v>
      </c>
      <c r="G35">
        <v>1.3</v>
      </c>
      <c r="H35">
        <v>33.5</v>
      </c>
      <c r="I35">
        <v>33.4</v>
      </c>
      <c r="J35">
        <v>0.08</v>
      </c>
      <c r="K35">
        <v>3221.3</v>
      </c>
      <c r="L35">
        <v>2.0499999999999998</v>
      </c>
      <c r="M35">
        <v>0.15</v>
      </c>
      <c r="P35" s="7">
        <v>105.85714285714286</v>
      </c>
      <c r="Q35" s="7">
        <v>5</v>
      </c>
      <c r="Z35" s="7">
        <v>34.428571428571431</v>
      </c>
      <c r="AA35" s="7">
        <v>14</v>
      </c>
    </row>
    <row r="36" spans="1:27" x14ac:dyDescent="0.3">
      <c r="A36">
        <v>51.2</v>
      </c>
      <c r="B36">
        <v>130</v>
      </c>
      <c r="C36">
        <v>113</v>
      </c>
      <c r="D36">
        <v>0.43</v>
      </c>
      <c r="E36">
        <v>0.76200000000000001</v>
      </c>
      <c r="F36">
        <v>1.1000000000000001</v>
      </c>
      <c r="G36">
        <v>3.5</v>
      </c>
      <c r="H36">
        <v>37.4</v>
      </c>
      <c r="I36">
        <v>36.4</v>
      </c>
      <c r="J36">
        <v>0.1</v>
      </c>
      <c r="K36">
        <v>5740.7</v>
      </c>
      <c r="L36">
        <v>2.6</v>
      </c>
      <c r="M36">
        <v>0.6</v>
      </c>
      <c r="P36" s="7">
        <v>116.57142857142857</v>
      </c>
      <c r="Q36" s="7">
        <v>4</v>
      </c>
      <c r="Z36" s="7">
        <v>36.185714285714283</v>
      </c>
      <c r="AA36" s="7">
        <v>13</v>
      </c>
    </row>
    <row r="37" spans="1:27" x14ac:dyDescent="0.3">
      <c r="A37">
        <v>48.2</v>
      </c>
      <c r="B37">
        <v>129.80000000000001</v>
      </c>
      <c r="C37">
        <v>92</v>
      </c>
      <c r="D37">
        <v>0.67500000000000004</v>
      </c>
      <c r="E37">
        <v>0.64</v>
      </c>
      <c r="F37">
        <v>1.1000000000000001</v>
      </c>
      <c r="G37">
        <v>1.5</v>
      </c>
      <c r="H37">
        <v>38.200000000000003</v>
      </c>
      <c r="I37">
        <v>33.6</v>
      </c>
      <c r="J37">
        <v>0.05</v>
      </c>
      <c r="K37">
        <v>4001</v>
      </c>
      <c r="L37">
        <v>2.2000000000000002</v>
      </c>
      <c r="M37">
        <v>0.18</v>
      </c>
      <c r="P37" s="7">
        <v>127.28571428571428</v>
      </c>
      <c r="Q37" s="7">
        <v>6</v>
      </c>
      <c r="Z37" s="7">
        <v>37.942857142857143</v>
      </c>
      <c r="AA37" s="7">
        <v>10</v>
      </c>
    </row>
    <row r="38" spans="1:27" ht="15.65" thickBot="1" x14ac:dyDescent="0.35">
      <c r="A38">
        <v>49.8</v>
      </c>
      <c r="B38">
        <v>145</v>
      </c>
      <c r="C38">
        <v>136</v>
      </c>
      <c r="D38">
        <v>0.44700000000000001</v>
      </c>
      <c r="E38">
        <v>0.72299999999999998</v>
      </c>
      <c r="F38">
        <v>1.4</v>
      </c>
      <c r="G38">
        <v>2</v>
      </c>
      <c r="H38">
        <v>37.6</v>
      </c>
      <c r="I38">
        <v>36.4</v>
      </c>
      <c r="J38">
        <v>0.05</v>
      </c>
      <c r="K38">
        <v>5112.8999999999996</v>
      </c>
      <c r="L38">
        <v>2.08</v>
      </c>
      <c r="M38">
        <v>0.5</v>
      </c>
      <c r="P38" s="8" t="s">
        <v>95</v>
      </c>
      <c r="Q38" s="8">
        <v>11</v>
      </c>
      <c r="Z38" s="8" t="s">
        <v>95</v>
      </c>
      <c r="AA38" s="8">
        <v>3</v>
      </c>
    </row>
    <row r="39" spans="1:27" x14ac:dyDescent="0.3">
      <c r="A39">
        <v>51.3</v>
      </c>
      <c r="B39">
        <v>130</v>
      </c>
      <c r="C39">
        <v>131</v>
      </c>
      <c r="D39">
        <v>0.53400000000000003</v>
      </c>
      <c r="E39">
        <v>0.67700000000000005</v>
      </c>
      <c r="F39">
        <v>2.8</v>
      </c>
      <c r="G39">
        <v>2.2000000000000002</v>
      </c>
      <c r="H39">
        <v>35.299999999999997</v>
      </c>
      <c r="I39">
        <v>33.6</v>
      </c>
      <c r="J39">
        <v>0.08</v>
      </c>
      <c r="K39">
        <v>5454.4</v>
      </c>
      <c r="L39">
        <v>1.84</v>
      </c>
      <c r="M39">
        <v>0.44</v>
      </c>
    </row>
    <row r="40" spans="1:27" x14ac:dyDescent="0.3">
      <c r="A40">
        <v>51.3</v>
      </c>
      <c r="B40">
        <v>132</v>
      </c>
      <c r="C40">
        <v>135</v>
      </c>
      <c r="D40">
        <v>0.754</v>
      </c>
      <c r="E40">
        <v>0.71199999999999997</v>
      </c>
      <c r="F40">
        <v>7</v>
      </c>
      <c r="G40">
        <v>1.1000000000000001</v>
      </c>
      <c r="H40">
        <v>37.700000000000003</v>
      </c>
      <c r="I40">
        <v>31.6</v>
      </c>
      <c r="J40">
        <v>7.0000000000000007E-2</v>
      </c>
      <c r="K40">
        <v>2578.4</v>
      </c>
      <c r="L40">
        <v>2.08</v>
      </c>
      <c r="M40">
        <v>0.4</v>
      </c>
    </row>
    <row r="41" spans="1:27" x14ac:dyDescent="0.3">
      <c r="A41">
        <v>50.5</v>
      </c>
      <c r="B41">
        <v>150</v>
      </c>
      <c r="C41">
        <v>120</v>
      </c>
      <c r="D41">
        <v>0.51200000000000001</v>
      </c>
      <c r="E41">
        <v>0.71599999999999997</v>
      </c>
      <c r="F41">
        <v>2.4</v>
      </c>
      <c r="G41">
        <v>3.4</v>
      </c>
      <c r="H41">
        <v>32.5</v>
      </c>
      <c r="I41">
        <v>34.700000000000003</v>
      </c>
      <c r="J41">
        <v>0.08</v>
      </c>
      <c r="K41">
        <v>3959.9</v>
      </c>
      <c r="L41">
        <v>1.8</v>
      </c>
      <c r="M41">
        <v>0.84</v>
      </c>
    </row>
    <row r="42" spans="1:27" x14ac:dyDescent="0.3">
      <c r="A42">
        <v>50.2</v>
      </c>
      <c r="B42">
        <v>158</v>
      </c>
      <c r="C42">
        <v>99</v>
      </c>
      <c r="D42">
        <v>0.21</v>
      </c>
      <c r="E42">
        <v>0.77400000000000002</v>
      </c>
      <c r="F42">
        <v>4.0999999999999996</v>
      </c>
      <c r="G42">
        <v>2.1</v>
      </c>
      <c r="H42">
        <v>39.9</v>
      </c>
      <c r="I42">
        <v>27.4</v>
      </c>
      <c r="J42">
        <v>0.05</v>
      </c>
      <c r="K42">
        <v>4235.5</v>
      </c>
      <c r="L42">
        <v>2.1</v>
      </c>
      <c r="M42">
        <v>0.6</v>
      </c>
    </row>
    <row r="43" spans="1:27" ht="15.65" thickBot="1" x14ac:dyDescent="0.35">
      <c r="A43">
        <v>50</v>
      </c>
      <c r="B43">
        <v>174</v>
      </c>
      <c r="C43">
        <v>77</v>
      </c>
      <c r="D43">
        <v>0.77500000000000002</v>
      </c>
      <c r="E43">
        <v>0.73</v>
      </c>
      <c r="F43">
        <v>7</v>
      </c>
      <c r="G43">
        <v>2.2999999999999998</v>
      </c>
      <c r="H43">
        <v>36.4</v>
      </c>
      <c r="I43">
        <v>32.200000000000003</v>
      </c>
      <c r="J43">
        <v>0.09</v>
      </c>
      <c r="K43">
        <v>3778.3</v>
      </c>
      <c r="L43">
        <v>2.08</v>
      </c>
      <c r="M43">
        <v>0.5</v>
      </c>
    </row>
    <row r="44" spans="1:27" x14ac:dyDescent="0.3">
      <c r="A44">
        <v>47</v>
      </c>
      <c r="B44">
        <v>129</v>
      </c>
      <c r="C44">
        <v>134</v>
      </c>
      <c r="D44">
        <v>0.745</v>
      </c>
      <c r="E44">
        <v>0.72199999999999998</v>
      </c>
      <c r="F44">
        <v>7.2</v>
      </c>
      <c r="G44">
        <v>1.3</v>
      </c>
      <c r="H44">
        <v>37.6</v>
      </c>
      <c r="I44">
        <v>33.200000000000003</v>
      </c>
      <c r="J44">
        <v>0.09</v>
      </c>
      <c r="K44">
        <v>2775.4</v>
      </c>
      <c r="L44">
        <v>2.2000000000000002</v>
      </c>
      <c r="M44">
        <v>0.5</v>
      </c>
      <c r="P44" s="9" t="s">
        <v>94</v>
      </c>
      <c r="Q44" s="9" t="s">
        <v>96</v>
      </c>
      <c r="Z44" s="9" t="s">
        <v>94</v>
      </c>
      <c r="AA44" s="9" t="s">
        <v>96</v>
      </c>
    </row>
    <row r="45" spans="1:27" x14ac:dyDescent="0.3">
      <c r="A45">
        <v>50</v>
      </c>
      <c r="B45">
        <v>159</v>
      </c>
      <c r="C45">
        <v>83</v>
      </c>
      <c r="D45">
        <v>0.65700000000000003</v>
      </c>
      <c r="E45">
        <v>0.73299999999999998</v>
      </c>
      <c r="F45">
        <v>6.3</v>
      </c>
      <c r="G45">
        <v>1.3</v>
      </c>
      <c r="H45">
        <v>36.200000000000003</v>
      </c>
      <c r="I45">
        <v>37.700000000000003</v>
      </c>
      <c r="J45">
        <v>0.04</v>
      </c>
      <c r="K45">
        <v>3789.3</v>
      </c>
      <c r="L45">
        <v>1.7</v>
      </c>
      <c r="M45">
        <v>0.33</v>
      </c>
      <c r="P45" s="7">
        <v>0.161</v>
      </c>
      <c r="Q45" s="7">
        <v>1</v>
      </c>
      <c r="Z45" s="7">
        <v>0.02</v>
      </c>
      <c r="AA45" s="7">
        <v>1</v>
      </c>
    </row>
    <row r="46" spans="1:27" x14ac:dyDescent="0.3">
      <c r="A46">
        <v>50</v>
      </c>
      <c r="B46">
        <v>166.3</v>
      </c>
      <c r="C46">
        <v>85</v>
      </c>
      <c r="D46">
        <v>0.52300000000000002</v>
      </c>
      <c r="E46">
        <v>0.67600000000000005</v>
      </c>
      <c r="F46">
        <v>8.5</v>
      </c>
      <c r="G46">
        <v>1.3</v>
      </c>
      <c r="H46">
        <v>36.5</v>
      </c>
      <c r="I46">
        <v>35.200000000000003</v>
      </c>
      <c r="J46">
        <v>0.08</v>
      </c>
      <c r="K46">
        <v>4358.8</v>
      </c>
      <c r="L46">
        <v>2.2000000000000002</v>
      </c>
      <c r="M46">
        <v>0.57999999999999996</v>
      </c>
      <c r="P46" s="7">
        <v>0.29514285714285715</v>
      </c>
      <c r="Q46" s="7">
        <v>12</v>
      </c>
      <c r="Z46" s="7">
        <v>3.1428571428571431E-2</v>
      </c>
      <c r="AA46" s="7">
        <v>4</v>
      </c>
    </row>
    <row r="47" spans="1:27" x14ac:dyDescent="0.3">
      <c r="A47">
        <v>49.5</v>
      </c>
      <c r="B47">
        <v>128</v>
      </c>
      <c r="C47">
        <v>90</v>
      </c>
      <c r="D47">
        <v>0.66100000000000003</v>
      </c>
      <c r="E47">
        <v>0.65400000000000003</v>
      </c>
      <c r="F47">
        <v>1.3</v>
      </c>
      <c r="G47">
        <v>1.2</v>
      </c>
      <c r="H47">
        <v>36.9</v>
      </c>
      <c r="I47">
        <v>34.200000000000003</v>
      </c>
      <c r="J47">
        <v>0.06</v>
      </c>
      <c r="K47">
        <v>3987.4</v>
      </c>
      <c r="L47">
        <v>1.85</v>
      </c>
      <c r="M47">
        <v>0.14000000000000001</v>
      </c>
      <c r="P47" s="7">
        <v>0.42928571428571427</v>
      </c>
      <c r="Q47" s="7">
        <v>8</v>
      </c>
      <c r="Z47" s="7">
        <v>4.2857142857142858E-2</v>
      </c>
      <c r="AA47" s="7">
        <v>4</v>
      </c>
    </row>
    <row r="48" spans="1:27" x14ac:dyDescent="0.3">
      <c r="A48">
        <v>55.3</v>
      </c>
      <c r="B48">
        <v>147</v>
      </c>
      <c r="C48">
        <v>86</v>
      </c>
      <c r="D48">
        <v>0.161</v>
      </c>
      <c r="E48">
        <v>0.63300000000000001</v>
      </c>
      <c r="F48">
        <v>8.1999999999999993</v>
      </c>
      <c r="G48">
        <v>2.7</v>
      </c>
      <c r="H48">
        <v>37.299999999999997</v>
      </c>
      <c r="I48">
        <v>36.6</v>
      </c>
      <c r="J48">
        <v>0.08</v>
      </c>
      <c r="K48">
        <v>3352.2</v>
      </c>
      <c r="L48">
        <v>2.2000000000000002</v>
      </c>
      <c r="M48">
        <v>0.36</v>
      </c>
      <c r="P48" s="7">
        <v>0.5634285714285715</v>
      </c>
      <c r="Q48" s="7">
        <v>17</v>
      </c>
      <c r="Z48" s="7">
        <v>5.4285714285714284E-2</v>
      </c>
      <c r="AA48" s="7">
        <v>6</v>
      </c>
    </row>
    <row r="49" spans="1:27" x14ac:dyDescent="0.3">
      <c r="A49">
        <v>51.2</v>
      </c>
      <c r="B49">
        <v>148</v>
      </c>
      <c r="C49">
        <v>75</v>
      </c>
      <c r="D49">
        <v>0.35199999999999998</v>
      </c>
      <c r="E49">
        <v>0.61299999999999999</v>
      </c>
      <c r="F49">
        <v>1.7</v>
      </c>
      <c r="G49">
        <v>2.2999999999999998</v>
      </c>
      <c r="H49">
        <v>33.4</v>
      </c>
      <c r="I49">
        <v>37.299999999999997</v>
      </c>
      <c r="J49">
        <v>0.1</v>
      </c>
      <c r="K49">
        <v>3251.1</v>
      </c>
      <c r="L49">
        <v>1.6</v>
      </c>
      <c r="M49">
        <v>0.6</v>
      </c>
      <c r="P49" s="7">
        <v>0.69757142857142862</v>
      </c>
      <c r="Q49" s="7">
        <v>7</v>
      </c>
      <c r="Z49" s="7">
        <v>6.5714285714285711E-2</v>
      </c>
      <c r="AA49" s="7">
        <v>6</v>
      </c>
    </row>
    <row r="50" spans="1:27" x14ac:dyDescent="0.3">
      <c r="A50">
        <v>52.2</v>
      </c>
      <c r="B50">
        <v>129</v>
      </c>
      <c r="C50">
        <v>114</v>
      </c>
      <c r="D50">
        <v>0.44800000000000001</v>
      </c>
      <c r="E50">
        <v>0.72499999999999998</v>
      </c>
      <c r="F50">
        <v>1.2</v>
      </c>
      <c r="G50">
        <v>3.2</v>
      </c>
      <c r="H50">
        <v>34.299999999999997</v>
      </c>
      <c r="I50">
        <v>38.4</v>
      </c>
      <c r="J50">
        <v>0.09</v>
      </c>
      <c r="K50">
        <v>5372.6</v>
      </c>
      <c r="L50">
        <v>2.2000000000000002</v>
      </c>
      <c r="M50">
        <v>0.6</v>
      </c>
      <c r="P50" s="7">
        <v>0.83171428571428574</v>
      </c>
      <c r="Q50" s="7">
        <v>5</v>
      </c>
      <c r="Z50" s="7">
        <v>7.7142857142857138E-2</v>
      </c>
      <c r="AA50" s="7">
        <v>6</v>
      </c>
    </row>
    <row r="51" spans="1:27" x14ac:dyDescent="0.3">
      <c r="A51">
        <v>49.8</v>
      </c>
      <c r="B51">
        <v>167</v>
      </c>
      <c r="C51">
        <v>87</v>
      </c>
      <c r="D51">
        <v>0.51600000000000001</v>
      </c>
      <c r="E51">
        <v>0.624</v>
      </c>
      <c r="F51">
        <v>8.3000000000000007</v>
      </c>
      <c r="G51">
        <v>1.1000000000000001</v>
      </c>
      <c r="H51">
        <v>38</v>
      </c>
      <c r="I51">
        <v>32.6</v>
      </c>
      <c r="J51">
        <v>0.1</v>
      </c>
      <c r="K51">
        <v>4536.6000000000004</v>
      </c>
      <c r="L51">
        <v>2.08</v>
      </c>
      <c r="M51">
        <v>0.6</v>
      </c>
      <c r="P51" s="7">
        <v>0.96585714285714297</v>
      </c>
      <c r="Q51" s="7">
        <v>4</v>
      </c>
      <c r="Z51" s="7">
        <v>8.8571428571428579E-2</v>
      </c>
      <c r="AA51" s="7">
        <v>7</v>
      </c>
    </row>
    <row r="52" spans="1:27" ht="15.65" thickBot="1" x14ac:dyDescent="0.35">
      <c r="A52">
        <v>51</v>
      </c>
      <c r="B52">
        <v>129</v>
      </c>
      <c r="C52">
        <v>112</v>
      </c>
      <c r="D52">
        <v>0.54400000000000004</v>
      </c>
      <c r="E52">
        <v>0.66900000000000004</v>
      </c>
      <c r="F52">
        <v>2.2000000000000002</v>
      </c>
      <c r="G52">
        <v>2.2999999999999998</v>
      </c>
      <c r="H52">
        <v>37.4</v>
      </c>
      <c r="I52">
        <v>36.700000000000003</v>
      </c>
      <c r="J52">
        <v>0.1</v>
      </c>
      <c r="K52">
        <v>5675.7</v>
      </c>
      <c r="L52">
        <v>2.06</v>
      </c>
      <c r="M52">
        <v>0.43</v>
      </c>
      <c r="P52" s="8" t="s">
        <v>95</v>
      </c>
      <c r="Q52" s="8">
        <v>3</v>
      </c>
      <c r="Z52" s="8" t="s">
        <v>95</v>
      </c>
      <c r="AA52" s="8">
        <v>23</v>
      </c>
    </row>
    <row r="53" spans="1:27" x14ac:dyDescent="0.3">
      <c r="A53">
        <v>50.4</v>
      </c>
      <c r="B53">
        <v>148.19999999999999</v>
      </c>
      <c r="C53">
        <v>85</v>
      </c>
      <c r="D53">
        <v>0.48</v>
      </c>
      <c r="E53">
        <v>0.625</v>
      </c>
      <c r="F53">
        <v>1.5</v>
      </c>
      <c r="G53">
        <v>1.7</v>
      </c>
      <c r="H53">
        <v>35.299999999999997</v>
      </c>
      <c r="I53">
        <v>33.5</v>
      </c>
      <c r="J53">
        <v>0.09</v>
      </c>
      <c r="K53">
        <v>4269.8</v>
      </c>
      <c r="L53">
        <v>2.2000000000000002</v>
      </c>
      <c r="M53">
        <v>0.12</v>
      </c>
    </row>
    <row r="54" spans="1:27" x14ac:dyDescent="0.3">
      <c r="A54">
        <v>50.3</v>
      </c>
      <c r="B54">
        <v>144.69999999999999</v>
      </c>
      <c r="C54">
        <v>137</v>
      </c>
      <c r="D54">
        <v>0.42299999999999999</v>
      </c>
      <c r="E54">
        <v>0.72199999999999998</v>
      </c>
      <c r="F54">
        <v>1.6</v>
      </c>
      <c r="G54">
        <v>2.2000000000000002</v>
      </c>
      <c r="H54">
        <v>33.6</v>
      </c>
      <c r="I54">
        <v>37.200000000000003</v>
      </c>
      <c r="J54">
        <v>7.0000000000000007E-2</v>
      </c>
      <c r="K54">
        <v>5214.5</v>
      </c>
      <c r="L54">
        <v>1.86</v>
      </c>
      <c r="M54">
        <v>0.7</v>
      </c>
    </row>
    <row r="55" spans="1:27" x14ac:dyDescent="0.3">
      <c r="A55">
        <v>50</v>
      </c>
      <c r="B55">
        <v>128</v>
      </c>
      <c r="C55">
        <v>128</v>
      </c>
      <c r="D55">
        <v>0.55400000000000005</v>
      </c>
      <c r="E55">
        <v>0.68300000000000005</v>
      </c>
      <c r="F55">
        <v>2.6</v>
      </c>
      <c r="G55">
        <v>2.1</v>
      </c>
      <c r="H55">
        <v>38.4</v>
      </c>
      <c r="I55">
        <v>35.299999999999997</v>
      </c>
      <c r="J55">
        <v>0.09</v>
      </c>
      <c r="K55">
        <v>5871.8</v>
      </c>
      <c r="L55">
        <v>2.2000000000000002</v>
      </c>
      <c r="M55">
        <v>0.42</v>
      </c>
    </row>
    <row r="56" spans="1:27" ht="15.65" thickBot="1" x14ac:dyDescent="0.35">
      <c r="A56">
        <v>51.6</v>
      </c>
      <c r="B56">
        <v>159.69999999999999</v>
      </c>
      <c r="C56">
        <v>97</v>
      </c>
      <c r="D56">
        <v>0.23</v>
      </c>
      <c r="E56">
        <v>0.752</v>
      </c>
      <c r="F56">
        <v>4.2</v>
      </c>
      <c r="G56">
        <v>2.2999999999999998</v>
      </c>
      <c r="H56">
        <v>36.6</v>
      </c>
      <c r="I56">
        <v>28.4</v>
      </c>
      <c r="J56">
        <v>0.03</v>
      </c>
      <c r="K56">
        <v>4197.5</v>
      </c>
      <c r="L56">
        <v>1.8</v>
      </c>
      <c r="M56">
        <v>0.6</v>
      </c>
    </row>
    <row r="57" spans="1:27" ht="15.65" thickBot="1" x14ac:dyDescent="0.35">
      <c r="A57">
        <v>53.3</v>
      </c>
      <c r="B57">
        <v>160</v>
      </c>
      <c r="C57">
        <v>130</v>
      </c>
      <c r="D57">
        <v>0.16500000000000001</v>
      </c>
      <c r="E57">
        <v>0.65100000000000002</v>
      </c>
      <c r="F57">
        <v>1.8</v>
      </c>
      <c r="G57">
        <v>3.2</v>
      </c>
      <c r="H57">
        <v>33.6</v>
      </c>
      <c r="I57">
        <v>34.5</v>
      </c>
      <c r="J57">
        <v>0.1</v>
      </c>
      <c r="K57">
        <v>5643.7</v>
      </c>
      <c r="L57">
        <v>2.6</v>
      </c>
      <c r="M57">
        <v>0.36</v>
      </c>
      <c r="Z57" s="9" t="s">
        <v>94</v>
      </c>
      <c r="AA57" s="9" t="s">
        <v>96</v>
      </c>
    </row>
    <row r="58" spans="1:27" x14ac:dyDescent="0.3">
      <c r="A58">
        <v>52.2</v>
      </c>
      <c r="B58">
        <v>156</v>
      </c>
      <c r="C58">
        <v>66</v>
      </c>
      <c r="D58">
        <v>0.29499999999999998</v>
      </c>
      <c r="E58">
        <v>0.63200000000000001</v>
      </c>
      <c r="F58">
        <v>6.9</v>
      </c>
      <c r="G58">
        <v>1.1000000000000001</v>
      </c>
      <c r="H58">
        <v>32.299999999999997</v>
      </c>
      <c r="I58">
        <v>35.299999999999997</v>
      </c>
      <c r="J58">
        <v>0.09</v>
      </c>
      <c r="K58">
        <v>3112.2</v>
      </c>
      <c r="L58">
        <v>2.1</v>
      </c>
      <c r="M58">
        <v>0.17</v>
      </c>
      <c r="P58" s="9" t="s">
        <v>94</v>
      </c>
      <c r="Q58" s="9" t="s">
        <v>96</v>
      </c>
      <c r="Z58" s="7">
        <v>2334.1999999999998</v>
      </c>
      <c r="AA58" s="7">
        <v>1</v>
      </c>
    </row>
    <row r="59" spans="1:27" x14ac:dyDescent="0.3">
      <c r="P59" s="7">
        <v>0.59799999999999998</v>
      </c>
      <c r="Q59" s="7">
        <v>1</v>
      </c>
      <c r="Z59" s="7">
        <v>2856.5</v>
      </c>
      <c r="AA59" s="7">
        <v>4</v>
      </c>
    </row>
    <row r="60" spans="1:27" x14ac:dyDescent="0.3">
      <c r="P60" s="7">
        <v>0.62314285714285711</v>
      </c>
      <c r="Q60" s="7">
        <v>8</v>
      </c>
      <c r="Z60" s="7">
        <v>3378.8</v>
      </c>
      <c r="AA60" s="7">
        <v>13</v>
      </c>
    </row>
    <row r="61" spans="1:27" x14ac:dyDescent="0.3">
      <c r="P61" s="7">
        <v>0.64828571428571424</v>
      </c>
      <c r="Q61" s="7">
        <v>10</v>
      </c>
      <c r="Z61" s="7">
        <v>3901.1</v>
      </c>
      <c r="AA61" s="7">
        <v>4</v>
      </c>
    </row>
    <row r="62" spans="1:27" x14ac:dyDescent="0.3">
      <c r="P62" s="7">
        <v>0.67342857142857149</v>
      </c>
      <c r="Q62" s="7">
        <v>10</v>
      </c>
      <c r="Z62" s="7">
        <v>4423.3999999999996</v>
      </c>
      <c r="AA62" s="7">
        <v>13</v>
      </c>
    </row>
    <row r="63" spans="1:27" x14ac:dyDescent="0.3">
      <c r="P63" s="7">
        <v>0.69857142857142862</v>
      </c>
      <c r="Q63" s="7">
        <v>7</v>
      </c>
      <c r="Z63" s="7">
        <v>4945.7000000000007</v>
      </c>
      <c r="AA63" s="7">
        <v>5</v>
      </c>
    </row>
    <row r="64" spans="1:27" x14ac:dyDescent="0.3">
      <c r="P64" s="7">
        <v>0.72371428571428575</v>
      </c>
      <c r="Q64" s="7">
        <v>11</v>
      </c>
      <c r="Z64" s="7">
        <v>5468</v>
      </c>
      <c r="AA64" s="7">
        <v>10</v>
      </c>
    </row>
    <row r="65" spans="16:27" ht="15.65" thickBot="1" x14ac:dyDescent="0.35">
      <c r="P65" s="7">
        <v>0.74885714285714289</v>
      </c>
      <c r="Q65" s="7">
        <v>6</v>
      </c>
      <c r="Z65" s="8" t="s">
        <v>95</v>
      </c>
      <c r="AA65" s="8">
        <v>7</v>
      </c>
    </row>
    <row r="66" spans="16:27" ht="15.65" thickBot="1" x14ac:dyDescent="0.35">
      <c r="P66" s="8" t="s">
        <v>95</v>
      </c>
      <c r="Q66" s="8">
        <v>4</v>
      </c>
    </row>
    <row r="69" spans="16:27" ht="15.65" thickBot="1" x14ac:dyDescent="0.35"/>
    <row r="70" spans="16:27" x14ac:dyDescent="0.3">
      <c r="Z70" s="9" t="s">
        <v>94</v>
      </c>
      <c r="AA70" s="9" t="s">
        <v>96</v>
      </c>
    </row>
    <row r="71" spans="16:27" x14ac:dyDescent="0.3">
      <c r="Z71" s="7">
        <v>1.4</v>
      </c>
      <c r="AA71" s="7">
        <v>1</v>
      </c>
    </row>
    <row r="72" spans="16:27" ht="15.65" thickBot="1" x14ac:dyDescent="0.35">
      <c r="Z72" s="7">
        <v>1.5714285714285714</v>
      </c>
      <c r="AA72" s="7">
        <v>0</v>
      </c>
    </row>
    <row r="73" spans="16:27" x14ac:dyDescent="0.3">
      <c r="P73" s="9" t="s">
        <v>94</v>
      </c>
      <c r="Q73" s="9" t="s">
        <v>96</v>
      </c>
      <c r="Z73" s="7">
        <v>1.7428571428571429</v>
      </c>
      <c r="AA73" s="7">
        <v>4</v>
      </c>
    </row>
    <row r="74" spans="16:27" x14ac:dyDescent="0.3">
      <c r="P74" s="7">
        <v>1</v>
      </c>
      <c r="Q74" s="7">
        <v>1</v>
      </c>
      <c r="Z74" s="7">
        <v>1.9142857142857141</v>
      </c>
      <c r="AA74" s="7">
        <v>19</v>
      </c>
    </row>
    <row r="75" spans="16:27" x14ac:dyDescent="0.3">
      <c r="P75" s="7">
        <v>2.3142857142857141</v>
      </c>
      <c r="Q75" s="7">
        <v>30</v>
      </c>
      <c r="Z75" s="7">
        <v>2.0857142857142859</v>
      </c>
      <c r="AA75" s="7">
        <v>10</v>
      </c>
    </row>
    <row r="76" spans="16:27" x14ac:dyDescent="0.3">
      <c r="P76" s="7">
        <v>3.6285714285714286</v>
      </c>
      <c r="Q76" s="7">
        <v>3</v>
      </c>
      <c r="Z76" s="7">
        <v>2.2571428571428571</v>
      </c>
      <c r="AA76" s="7">
        <v>15</v>
      </c>
    </row>
    <row r="77" spans="16:27" x14ac:dyDescent="0.3">
      <c r="P77" s="7">
        <v>4.9428571428571431</v>
      </c>
      <c r="Q77" s="7">
        <v>3</v>
      </c>
      <c r="Z77" s="7">
        <v>2.4285714285714288</v>
      </c>
      <c r="AA77" s="7">
        <v>2</v>
      </c>
    </row>
    <row r="78" spans="16:27" ht="15.65" thickBot="1" x14ac:dyDescent="0.35">
      <c r="P78" s="7">
        <v>6.2571428571428571</v>
      </c>
      <c r="Q78" s="7">
        <v>0</v>
      </c>
      <c r="Z78" s="8" t="s">
        <v>95</v>
      </c>
      <c r="AA78" s="8">
        <v>6</v>
      </c>
    </row>
    <row r="79" spans="16:27" x14ac:dyDescent="0.3">
      <c r="P79" s="7">
        <v>7.5714285714285712</v>
      </c>
      <c r="Q79" s="7">
        <v>10</v>
      </c>
    </row>
    <row r="80" spans="16:27" x14ac:dyDescent="0.3">
      <c r="P80" s="7">
        <v>8.8857142857142861</v>
      </c>
      <c r="Q80" s="7">
        <v>5</v>
      </c>
    </row>
    <row r="81" spans="16:27" ht="15.65" thickBot="1" x14ac:dyDescent="0.35">
      <c r="P81" s="8" t="s">
        <v>95</v>
      </c>
      <c r="Q81" s="8">
        <v>5</v>
      </c>
    </row>
    <row r="82" spans="16:27" ht="15.65" thickBot="1" x14ac:dyDescent="0.35"/>
    <row r="83" spans="16:27" x14ac:dyDescent="0.3">
      <c r="Z83" s="9" t="s">
        <v>94</v>
      </c>
      <c r="AA83" s="9" t="s">
        <v>96</v>
      </c>
    </row>
    <row r="84" spans="16:27" x14ac:dyDescent="0.3">
      <c r="Z84" s="7">
        <v>0.12</v>
      </c>
      <c r="AA84" s="7">
        <v>1</v>
      </c>
    </row>
    <row r="85" spans="16:27" x14ac:dyDescent="0.3">
      <c r="Z85" s="7">
        <v>0.22285714285714286</v>
      </c>
      <c r="AA85" s="7">
        <v>8</v>
      </c>
    </row>
    <row r="86" spans="16:27" x14ac:dyDescent="0.3">
      <c r="Z86" s="7">
        <v>0.32571428571428573</v>
      </c>
      <c r="AA86" s="7">
        <v>4</v>
      </c>
    </row>
    <row r="87" spans="16:27" x14ac:dyDescent="0.3">
      <c r="Z87" s="7">
        <v>0.42857142857142855</v>
      </c>
      <c r="AA87" s="7">
        <v>12</v>
      </c>
    </row>
    <row r="88" spans="16:27" x14ac:dyDescent="0.3">
      <c r="Z88" s="7">
        <v>0.53142857142857136</v>
      </c>
      <c r="AA88" s="7">
        <v>8</v>
      </c>
    </row>
    <row r="89" spans="16:27" x14ac:dyDescent="0.3">
      <c r="Z89" s="7">
        <v>0.63428571428571423</v>
      </c>
      <c r="AA89" s="7">
        <v>14</v>
      </c>
    </row>
    <row r="90" spans="16:27" x14ac:dyDescent="0.3">
      <c r="Z90" s="7">
        <v>0.7371428571428571</v>
      </c>
      <c r="AA90" s="7">
        <v>3</v>
      </c>
    </row>
    <row r="91" spans="16:27" ht="15.65" thickBot="1" x14ac:dyDescent="0.35">
      <c r="Z91" s="8" t="s">
        <v>95</v>
      </c>
      <c r="AA91" s="8">
        <v>7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B9EA-7DAC-43CE-B8F6-71864062F13E}">
  <dimension ref="A1"/>
  <sheetViews>
    <sheetView topLeftCell="A97" zoomScale="50" zoomScaleNormal="50" workbookViewId="0">
      <selection activeCell="AD24" sqref="AD24"/>
    </sheetView>
  </sheetViews>
  <sheetFormatPr defaultColWidth="8.77734375" defaultRowHeight="15.05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3A07-D80B-47E2-A108-491BFC40FCE3}">
  <dimension ref="A1"/>
  <sheetViews>
    <sheetView zoomScaleNormal="100" workbookViewId="0">
      <selection activeCell="K2" sqref="K2"/>
    </sheetView>
  </sheetViews>
  <sheetFormatPr defaultRowHeight="15.05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AEAD5-569C-47A1-B5CF-160731E442C9}">
  <dimension ref="I1:R67"/>
  <sheetViews>
    <sheetView workbookViewId="0">
      <selection activeCell="R14" sqref="R14"/>
    </sheetView>
  </sheetViews>
  <sheetFormatPr defaultRowHeight="15.05" x14ac:dyDescent="0.3"/>
  <sheetData>
    <row r="1" spans="9:17" x14ac:dyDescent="0.3">
      <c r="I1" s="17"/>
      <c r="J1" s="17"/>
      <c r="K1" s="17"/>
    </row>
    <row r="15" spans="9:17" x14ac:dyDescent="0.3">
      <c r="Q15" s="17"/>
    </row>
    <row r="21" spans="17:17" x14ac:dyDescent="0.3">
      <c r="Q21" s="17"/>
    </row>
    <row r="35" spans="17:17" x14ac:dyDescent="0.3">
      <c r="Q35" s="17"/>
    </row>
    <row r="67" spans="17:18" x14ac:dyDescent="0.3">
      <c r="Q67" s="17"/>
      <c r="R67" s="1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B443-FDED-4B75-8568-45DFC0B28CA3}">
  <dimension ref="A1:P81"/>
  <sheetViews>
    <sheetView topLeftCell="A21" workbookViewId="0">
      <selection activeCell="B4" sqref="B4"/>
    </sheetView>
  </sheetViews>
  <sheetFormatPr defaultRowHeight="15.05" x14ac:dyDescent="0.3"/>
  <cols>
    <col min="11" max="11" width="17" customWidth="1"/>
    <col min="12" max="12" width="10" customWidth="1"/>
    <col min="13" max="14" width="8.88671875" customWidth="1"/>
    <col min="15" max="15" width="10.88671875" customWidth="1"/>
  </cols>
  <sheetData>
    <row r="1" spans="1:9" x14ac:dyDescent="0.3">
      <c r="A1" t="s">
        <v>63</v>
      </c>
    </row>
    <row r="2" spans="1:9" ht="15.65" thickBot="1" x14ac:dyDescent="0.35"/>
    <row r="3" spans="1:9" x14ac:dyDescent="0.3">
      <c r="A3" s="10" t="s">
        <v>64</v>
      </c>
      <c r="B3" s="10"/>
    </row>
    <row r="4" spans="1:9" x14ac:dyDescent="0.3">
      <c r="A4" s="7" t="s">
        <v>65</v>
      </c>
      <c r="B4" s="7">
        <v>0.59016990782902001</v>
      </c>
    </row>
    <row r="5" spans="1:9" x14ac:dyDescent="0.3">
      <c r="A5" s="7" t="s">
        <v>66</v>
      </c>
      <c r="B5" s="7">
        <v>0.34830052010691398</v>
      </c>
    </row>
    <row r="6" spans="1:9" x14ac:dyDescent="0.3">
      <c r="A6" s="7" t="s">
        <v>67</v>
      </c>
      <c r="B6" s="7">
        <v>0.3364514386543126</v>
      </c>
    </row>
    <row r="7" spans="1:9" x14ac:dyDescent="0.3">
      <c r="A7" s="7" t="s">
        <v>68</v>
      </c>
      <c r="B7" s="7">
        <v>830.8227366485288</v>
      </c>
    </row>
    <row r="8" spans="1:9" ht="15.65" thickBot="1" x14ac:dyDescent="0.35">
      <c r="A8" s="8" t="s">
        <v>69</v>
      </c>
      <c r="B8" s="8">
        <v>57</v>
      </c>
    </row>
    <row r="10" spans="1:9" ht="15.65" thickBot="1" x14ac:dyDescent="0.35">
      <c r="A10" t="s">
        <v>70</v>
      </c>
    </row>
    <row r="11" spans="1:9" x14ac:dyDescent="0.3">
      <c r="A11" s="9"/>
      <c r="B11" s="9" t="s">
        <v>71</v>
      </c>
      <c r="C11" s="9" t="s">
        <v>72</v>
      </c>
      <c r="D11" s="9" t="s">
        <v>73</v>
      </c>
      <c r="E11" s="9" t="s">
        <v>74</v>
      </c>
      <c r="F11" s="9" t="s">
        <v>75</v>
      </c>
    </row>
    <row r="12" spans="1:9" x14ac:dyDescent="0.3">
      <c r="A12" s="7" t="s">
        <v>76</v>
      </c>
      <c r="B12" s="7">
        <v>1</v>
      </c>
      <c r="C12" s="7">
        <v>20290193.2919247</v>
      </c>
      <c r="D12" s="7">
        <v>20290193.2919247</v>
      </c>
      <c r="E12" s="7">
        <v>29.394727473195147</v>
      </c>
      <c r="F12" s="7">
        <v>1.3546791361867433E-6</v>
      </c>
    </row>
    <row r="13" spans="1:9" x14ac:dyDescent="0.3">
      <c r="A13" s="7" t="s">
        <v>77</v>
      </c>
      <c r="B13" s="7">
        <v>55</v>
      </c>
      <c r="C13" s="7">
        <v>37964653.085268281</v>
      </c>
      <c r="D13" s="7">
        <v>690266.41973215062</v>
      </c>
      <c r="E13" s="7"/>
      <c r="F13" s="7"/>
    </row>
    <row r="14" spans="1:9" ht="15.65" thickBot="1" x14ac:dyDescent="0.35">
      <c r="A14" s="8" t="s">
        <v>78</v>
      </c>
      <c r="B14" s="8">
        <v>56</v>
      </c>
      <c r="C14" s="8">
        <v>58254846.377192982</v>
      </c>
      <c r="D14" s="8"/>
      <c r="E14" s="8"/>
      <c r="F14" s="8"/>
    </row>
    <row r="15" spans="1:9" ht="15.65" thickBot="1" x14ac:dyDescent="0.35"/>
    <row r="16" spans="1:9" x14ac:dyDescent="0.3">
      <c r="A16" s="9"/>
      <c r="B16" s="9" t="s">
        <v>79</v>
      </c>
      <c r="C16" s="9" t="s">
        <v>68</v>
      </c>
      <c r="D16" s="9" t="s">
        <v>80</v>
      </c>
      <c r="E16" s="9" t="s">
        <v>81</v>
      </c>
      <c r="F16" s="9" t="s">
        <v>82</v>
      </c>
      <c r="G16" s="9" t="s">
        <v>83</v>
      </c>
      <c r="H16" s="9" t="s">
        <v>84</v>
      </c>
      <c r="I16" s="9" t="s">
        <v>85</v>
      </c>
    </row>
    <row r="17" spans="1:12" x14ac:dyDescent="0.3">
      <c r="A17" s="7" t="s">
        <v>86</v>
      </c>
      <c r="B17" s="7">
        <v>1818.40685079786</v>
      </c>
      <c r="C17" s="7">
        <v>452.62033887018077</v>
      </c>
      <c r="D17" s="7">
        <v>4.017510250062819</v>
      </c>
      <c r="E17" s="7">
        <v>1.8016630025839247E-4</v>
      </c>
      <c r="F17" s="7">
        <v>911.33542187450666</v>
      </c>
      <c r="G17" s="7">
        <v>2725.4782797212088</v>
      </c>
      <c r="H17" s="7">
        <v>911.33542187450666</v>
      </c>
      <c r="I17" s="7">
        <v>2725.4782797212088</v>
      </c>
    </row>
    <row r="18" spans="1:12" ht="15.65" thickBot="1" x14ac:dyDescent="0.35">
      <c r="A18" s="20" t="s">
        <v>4</v>
      </c>
      <c r="B18" s="8">
        <v>24.415873583682199</v>
      </c>
      <c r="C18" s="8">
        <v>4.5033691524285206</v>
      </c>
      <c r="D18" s="8">
        <v>5.4216904626873701</v>
      </c>
      <c r="E18" s="21">
        <v>1.3546791361867299E-6</v>
      </c>
      <c r="F18" s="8">
        <v>15.390920126532579</v>
      </c>
      <c r="G18" s="8">
        <v>33.440827040831856</v>
      </c>
      <c r="H18" s="8">
        <v>15.390920126532579</v>
      </c>
      <c r="I18" s="8">
        <v>33.440827040831856</v>
      </c>
    </row>
    <row r="21" spans="1:12" x14ac:dyDescent="0.3">
      <c r="K21" s="11" t="s">
        <v>90</v>
      </c>
    </row>
    <row r="22" spans="1:12" x14ac:dyDescent="0.3">
      <c r="A22" t="s">
        <v>87</v>
      </c>
      <c r="K22" s="11" t="s">
        <v>91</v>
      </c>
      <c r="L22" s="12">
        <f>B18</f>
        <v>24.415873583682199</v>
      </c>
    </row>
    <row r="23" spans="1:12" ht="15.65" thickBot="1" x14ac:dyDescent="0.35">
      <c r="K23" s="11" t="s">
        <v>92</v>
      </c>
      <c r="L23" s="12">
        <f>B17</f>
        <v>1818.40685079786</v>
      </c>
    </row>
    <row r="24" spans="1:12" x14ac:dyDescent="0.3">
      <c r="A24" s="9" t="s">
        <v>88</v>
      </c>
      <c r="B24" s="9" t="s">
        <v>106</v>
      </c>
      <c r="C24" s="9" t="s">
        <v>89</v>
      </c>
    </row>
    <row r="25" spans="1:12" x14ac:dyDescent="0.3">
      <c r="A25" s="7">
        <v>1</v>
      </c>
      <c r="B25" s="7">
        <v>4528.5688185865838</v>
      </c>
      <c r="C25" s="7">
        <v>1038.8311814134158</v>
      </c>
    </row>
    <row r="26" spans="1:12" x14ac:dyDescent="0.3">
      <c r="A26" s="7">
        <v>2</v>
      </c>
      <c r="B26" s="7">
        <v>3844.9243582434819</v>
      </c>
      <c r="C26" s="7">
        <v>481.77564175651787</v>
      </c>
    </row>
    <row r="27" spans="1:12" x14ac:dyDescent="0.3">
      <c r="A27" s="7">
        <v>3</v>
      </c>
      <c r="B27" s="7">
        <v>3600.7656224066595</v>
      </c>
      <c r="C27" s="7">
        <v>297.03437759334065</v>
      </c>
    </row>
    <row r="28" spans="1:12" x14ac:dyDescent="0.3">
      <c r="A28" s="7">
        <v>4</v>
      </c>
      <c r="B28" s="7">
        <v>3478.6862544882488</v>
      </c>
      <c r="C28" s="7">
        <v>-374.08625448824887</v>
      </c>
    </row>
    <row r="29" spans="1:12" x14ac:dyDescent="0.3">
      <c r="A29" s="7">
        <v>5</v>
      </c>
      <c r="B29" s="7">
        <v>4919.2227959254997</v>
      </c>
      <c r="C29" s="7">
        <v>286.57720407450051</v>
      </c>
    </row>
    <row r="30" spans="1:12" x14ac:dyDescent="0.3">
      <c r="A30" s="7">
        <v>6</v>
      </c>
      <c r="B30" s="7">
        <v>4797.143428007088</v>
      </c>
      <c r="C30" s="7">
        <v>-310.44342800708819</v>
      </c>
    </row>
    <row r="31" spans="1:12" x14ac:dyDescent="0.3">
      <c r="A31" s="7">
        <v>7</v>
      </c>
      <c r="B31" s="7">
        <v>4308.8259563334432</v>
      </c>
      <c r="C31" s="7">
        <v>1494.2740436665572</v>
      </c>
      <c r="K31" s="19" t="s">
        <v>93</v>
      </c>
      <c r="L31" s="18">
        <f>B5</f>
        <v>0.34830052010691398</v>
      </c>
    </row>
    <row r="32" spans="1:12" x14ac:dyDescent="0.3">
      <c r="A32" s="7">
        <v>8</v>
      </c>
      <c r="B32" s="7">
        <v>3551.933875239295</v>
      </c>
      <c r="C32" s="7">
        <v>-340.83387523929514</v>
      </c>
    </row>
    <row r="33" spans="1:16" x14ac:dyDescent="0.3">
      <c r="A33" s="7">
        <v>9</v>
      </c>
      <c r="B33" s="7">
        <v>3429.8545073208843</v>
      </c>
      <c r="C33" s="7">
        <v>-202.15450732088448</v>
      </c>
    </row>
    <row r="34" spans="1:16" x14ac:dyDescent="0.3">
      <c r="A34" s="7">
        <v>10</v>
      </c>
      <c r="B34" s="7">
        <v>3405.4386337372016</v>
      </c>
      <c r="C34" s="7">
        <v>179.26136626279822</v>
      </c>
    </row>
    <row r="35" spans="1:16" x14ac:dyDescent="0.3">
      <c r="A35" s="7">
        <v>11</v>
      </c>
      <c r="B35" s="7">
        <v>4968.0545430928632</v>
      </c>
      <c r="C35" s="7">
        <v>160.34545690713639</v>
      </c>
    </row>
    <row r="36" spans="1:16" x14ac:dyDescent="0.3">
      <c r="A36" s="7">
        <v>12</v>
      </c>
      <c r="B36" s="7">
        <v>3698.4291167413885</v>
      </c>
      <c r="C36" s="7">
        <v>725.17088325861187</v>
      </c>
    </row>
    <row r="37" spans="1:16" x14ac:dyDescent="0.3">
      <c r="A37" s="7">
        <v>13</v>
      </c>
      <c r="B37" s="7">
        <v>3967.0037261618927</v>
      </c>
      <c r="C37" s="7">
        <v>-781.60372616189261</v>
      </c>
    </row>
    <row r="38" spans="1:16" x14ac:dyDescent="0.3">
      <c r="A38" s="7">
        <v>14</v>
      </c>
      <c r="B38" s="7">
        <v>3796.0926110761175</v>
      </c>
      <c r="C38" s="7">
        <v>177.00738892388244</v>
      </c>
    </row>
    <row r="39" spans="1:16" x14ac:dyDescent="0.3">
      <c r="A39" s="7">
        <v>15</v>
      </c>
      <c r="B39" s="7">
        <v>3576.3497488229773</v>
      </c>
      <c r="C39" s="7">
        <v>-1144.0497488229771</v>
      </c>
    </row>
    <row r="40" spans="1:16" x14ac:dyDescent="0.3">
      <c r="A40" s="7">
        <v>16</v>
      </c>
      <c r="B40" s="7">
        <v>4821.5593015907707</v>
      </c>
      <c r="C40" s="7">
        <v>-608.0593015907707</v>
      </c>
      <c r="K40" s="19" t="s">
        <v>107</v>
      </c>
    </row>
    <row r="41" spans="1:16" x14ac:dyDescent="0.3">
      <c r="A41" s="7">
        <v>17</v>
      </c>
      <c r="B41" s="7">
        <v>3527.5180016556128</v>
      </c>
      <c r="C41" s="7">
        <v>-366.01800165561281</v>
      </c>
    </row>
    <row r="42" spans="1:16" x14ac:dyDescent="0.3">
      <c r="A42" s="7">
        <v>18</v>
      </c>
      <c r="B42" s="7">
        <v>4845.9751751744525</v>
      </c>
      <c r="C42" s="7">
        <v>277.62482482554788</v>
      </c>
      <c r="K42" s="13" t="s">
        <v>97</v>
      </c>
      <c r="L42" s="13" t="s">
        <v>98</v>
      </c>
      <c r="M42" s="13" t="s">
        <v>68</v>
      </c>
      <c r="N42" s="13" t="s">
        <v>99</v>
      </c>
      <c r="O42" s="13" t="s">
        <v>100</v>
      </c>
      <c r="P42" s="13" t="s">
        <v>101</v>
      </c>
    </row>
    <row r="43" spans="1:16" x14ac:dyDescent="0.3">
      <c r="A43" s="7">
        <v>19</v>
      </c>
      <c r="B43" s="7">
        <v>3893.756105410846</v>
      </c>
      <c r="C43" s="7">
        <v>-769.95610541084579</v>
      </c>
      <c r="K43" s="13" t="s">
        <v>86</v>
      </c>
      <c r="L43" s="6">
        <f>B17</f>
        <v>1818.40685079786</v>
      </c>
      <c r="M43" s="6">
        <f t="shared" ref="M43:O43" si="0">C17</f>
        <v>452.62033887018077</v>
      </c>
      <c r="N43" s="6">
        <f t="shared" si="0"/>
        <v>4.017510250062819</v>
      </c>
      <c r="O43">
        <f t="shared" si="0"/>
        <v>1.8016630025839247E-4</v>
      </c>
      <c r="P43" t="s">
        <v>102</v>
      </c>
    </row>
    <row r="44" spans="1:16" x14ac:dyDescent="0.3">
      <c r="A44" s="7">
        <v>20</v>
      </c>
      <c r="B44" s="7">
        <v>4089.0830940803039</v>
      </c>
      <c r="C44" s="7">
        <v>669.31690591969573</v>
      </c>
      <c r="K44" s="13" t="s">
        <v>4</v>
      </c>
      <c r="L44" s="6">
        <f>B18</f>
        <v>24.415873583682199</v>
      </c>
      <c r="M44" s="6">
        <f t="shared" ref="M44:O44" si="1">C18</f>
        <v>4.5033691524285206</v>
      </c>
      <c r="N44" s="6">
        <f t="shared" si="1"/>
        <v>5.4216904626873701</v>
      </c>
      <c r="O44">
        <f t="shared" si="1"/>
        <v>1.3546791361867299E-6</v>
      </c>
      <c r="P44" s="13" t="s">
        <v>103</v>
      </c>
    </row>
    <row r="45" spans="1:16" x14ac:dyDescent="0.3">
      <c r="A45" s="7">
        <v>21</v>
      </c>
      <c r="B45" s="7">
        <v>5163.3815317623212</v>
      </c>
      <c r="C45" s="7">
        <v>-2285.8815317623212</v>
      </c>
    </row>
    <row r="46" spans="1:16" x14ac:dyDescent="0.3">
      <c r="A46" s="7">
        <v>22</v>
      </c>
      <c r="B46" s="7">
        <v>4259.9942091660796</v>
      </c>
      <c r="C46" s="7">
        <v>1183.6057908339208</v>
      </c>
      <c r="K46" s="13" t="s">
        <v>108</v>
      </c>
    </row>
    <row r="47" spans="1:16" x14ac:dyDescent="0.3">
      <c r="A47" s="7">
        <v>23</v>
      </c>
      <c r="B47" s="7">
        <v>4211.1624619987151</v>
      </c>
      <c r="C47" s="7">
        <v>476.23753800128452</v>
      </c>
    </row>
    <row r="48" spans="1:16" x14ac:dyDescent="0.3">
      <c r="A48" s="7">
        <v>24</v>
      </c>
      <c r="B48" s="7">
        <v>3869.3402318271637</v>
      </c>
      <c r="C48" s="7">
        <v>544.5597681728359</v>
      </c>
      <c r="K48" s="17" t="s">
        <v>109</v>
      </c>
    </row>
    <row r="49" spans="1:11" x14ac:dyDescent="0.3">
      <c r="A49" s="7">
        <v>25</v>
      </c>
      <c r="B49" s="7">
        <v>3503.1021280719306</v>
      </c>
      <c r="C49" s="7">
        <v>-390.90212807193075</v>
      </c>
    </row>
    <row r="50" spans="1:11" x14ac:dyDescent="0.3">
      <c r="A50" s="7">
        <v>26</v>
      </c>
      <c r="B50" s="7">
        <v>3356.6068865698371</v>
      </c>
      <c r="C50" s="7">
        <v>-35.106886569837116</v>
      </c>
      <c r="K50" s="17" t="s">
        <v>110</v>
      </c>
    </row>
    <row r="51" spans="1:11" x14ac:dyDescent="0.3">
      <c r="A51" s="7">
        <v>27</v>
      </c>
      <c r="B51" s="7">
        <v>3600.7656224066595</v>
      </c>
      <c r="C51" s="7">
        <v>-1266.5656224066597</v>
      </c>
    </row>
    <row r="52" spans="1:11" x14ac:dyDescent="0.3">
      <c r="A52" s="7">
        <v>28</v>
      </c>
      <c r="B52" s="7">
        <v>3844.9243582434819</v>
      </c>
      <c r="C52" s="7">
        <v>389.57564175651805</v>
      </c>
    </row>
    <row r="53" spans="1:11" x14ac:dyDescent="0.3">
      <c r="A53" s="7">
        <v>29</v>
      </c>
      <c r="B53" s="7">
        <v>4894.806922341817</v>
      </c>
      <c r="C53" s="7">
        <v>209.09307765818266</v>
      </c>
    </row>
    <row r="54" spans="1:11" x14ac:dyDescent="0.3">
      <c r="A54" s="7">
        <v>30</v>
      </c>
      <c r="B54" s="7">
        <v>3722.8449903250703</v>
      </c>
      <c r="C54" s="7">
        <v>634.85500967492953</v>
      </c>
    </row>
    <row r="55" spans="1:11" x14ac:dyDescent="0.3">
      <c r="A55" s="7">
        <v>31</v>
      </c>
      <c r="B55" s="7">
        <v>5187.7974053460039</v>
      </c>
      <c r="C55" s="7">
        <v>802.50259465399631</v>
      </c>
    </row>
    <row r="56" spans="1:11" x14ac:dyDescent="0.3">
      <c r="A56" s="7">
        <v>32</v>
      </c>
      <c r="B56" s="7">
        <v>5016.8862902602286</v>
      </c>
      <c r="C56" s="7">
        <v>436.513709739771</v>
      </c>
    </row>
    <row r="57" spans="1:11" x14ac:dyDescent="0.3">
      <c r="A57" s="7">
        <v>33</v>
      </c>
      <c r="B57" s="7">
        <v>3527.5180016556128</v>
      </c>
      <c r="C57" s="7">
        <v>-959.61800165561272</v>
      </c>
    </row>
    <row r="58" spans="1:11" x14ac:dyDescent="0.3">
      <c r="A58" s="7">
        <v>34</v>
      </c>
      <c r="B58" s="7">
        <v>3405.4386337372016</v>
      </c>
      <c r="C58" s="7">
        <v>-184.13863373720142</v>
      </c>
    </row>
    <row r="59" spans="1:11" x14ac:dyDescent="0.3">
      <c r="A59" s="7">
        <v>35</v>
      </c>
      <c r="B59" s="7">
        <v>4577.4005657539483</v>
      </c>
      <c r="C59" s="7">
        <v>1163.2994342460515</v>
      </c>
    </row>
    <row r="60" spans="1:11" x14ac:dyDescent="0.3">
      <c r="A60" s="7">
        <v>36</v>
      </c>
      <c r="B60" s="7">
        <v>4064.6672204966217</v>
      </c>
      <c r="C60" s="7">
        <v>-63.667220496621667</v>
      </c>
    </row>
    <row r="61" spans="1:11" x14ac:dyDescent="0.3">
      <c r="A61" s="7">
        <v>37</v>
      </c>
      <c r="B61" s="7">
        <v>5138.9656581786394</v>
      </c>
      <c r="C61" s="7">
        <v>-26.065658178639751</v>
      </c>
    </row>
    <row r="62" spans="1:11" x14ac:dyDescent="0.3">
      <c r="A62" s="7">
        <v>38</v>
      </c>
      <c r="B62" s="7">
        <v>5016.8862902602286</v>
      </c>
      <c r="C62" s="7">
        <v>437.513709739771</v>
      </c>
    </row>
    <row r="63" spans="1:11" x14ac:dyDescent="0.3">
      <c r="A63" s="7">
        <v>39</v>
      </c>
      <c r="B63" s="7">
        <v>5114.5497845949576</v>
      </c>
      <c r="C63" s="7">
        <v>-2536.1497845949575</v>
      </c>
    </row>
    <row r="64" spans="1:11" x14ac:dyDescent="0.3">
      <c r="A64" s="7">
        <v>40</v>
      </c>
      <c r="B64" s="7">
        <v>4748.3116808397235</v>
      </c>
      <c r="C64" s="7">
        <v>-788.41168083972343</v>
      </c>
    </row>
    <row r="65" spans="1:3" x14ac:dyDescent="0.3">
      <c r="A65" s="7">
        <v>41</v>
      </c>
      <c r="B65" s="7">
        <v>4235.5783355823969</v>
      </c>
      <c r="C65" s="7">
        <v>-7.8335582396903192E-2</v>
      </c>
    </row>
    <row r="66" spans="1:3" x14ac:dyDescent="0.3">
      <c r="A66" s="7">
        <v>42</v>
      </c>
      <c r="B66" s="7">
        <v>3698.4291167413885</v>
      </c>
      <c r="C66" s="7">
        <v>79.870883258611684</v>
      </c>
    </row>
    <row r="67" spans="1:3" x14ac:dyDescent="0.3">
      <c r="A67" s="7">
        <v>43</v>
      </c>
      <c r="B67" s="7">
        <v>5090.1339110112749</v>
      </c>
      <c r="C67" s="7">
        <v>-2314.7339110112748</v>
      </c>
    </row>
    <row r="68" spans="1:3" x14ac:dyDescent="0.3">
      <c r="A68" s="7">
        <v>44</v>
      </c>
      <c r="B68" s="7">
        <v>3844.9243582434819</v>
      </c>
      <c r="C68" s="7">
        <v>-55.624358243481765</v>
      </c>
    </row>
    <row r="69" spans="1:3" x14ac:dyDescent="0.3">
      <c r="A69" s="7">
        <v>45</v>
      </c>
      <c r="B69" s="7">
        <v>3893.756105410846</v>
      </c>
      <c r="C69" s="7">
        <v>465.04389458915421</v>
      </c>
    </row>
    <row r="70" spans="1:3" x14ac:dyDescent="0.3">
      <c r="A70" s="7">
        <v>46</v>
      </c>
      <c r="B70" s="7">
        <v>4015.8354733292572</v>
      </c>
      <c r="C70" s="7">
        <v>-28.435473329257093</v>
      </c>
    </row>
    <row r="71" spans="1:3" x14ac:dyDescent="0.3">
      <c r="A71" s="7">
        <v>47</v>
      </c>
      <c r="B71" s="7">
        <v>3918.1719789945282</v>
      </c>
      <c r="C71" s="7">
        <v>-565.9719789945284</v>
      </c>
    </row>
    <row r="72" spans="1:3" x14ac:dyDescent="0.3">
      <c r="A72" s="7">
        <v>48</v>
      </c>
      <c r="B72" s="7">
        <v>3649.597369574024</v>
      </c>
      <c r="C72" s="7">
        <v>-398.49736957402411</v>
      </c>
    </row>
    <row r="73" spans="1:3" x14ac:dyDescent="0.3">
      <c r="A73" s="7">
        <v>49</v>
      </c>
      <c r="B73" s="7">
        <v>4601.8164393376301</v>
      </c>
      <c r="C73" s="7">
        <v>770.78356066237029</v>
      </c>
    </row>
    <row r="74" spans="1:3" x14ac:dyDescent="0.3">
      <c r="A74" s="7">
        <v>50</v>
      </c>
      <c r="B74" s="7">
        <v>3942.5878525782105</v>
      </c>
      <c r="C74" s="7">
        <v>594.0121474217899</v>
      </c>
    </row>
    <row r="75" spans="1:3" x14ac:dyDescent="0.3">
      <c r="A75" s="7">
        <v>51</v>
      </c>
      <c r="B75" s="7">
        <v>4552.9846921702665</v>
      </c>
      <c r="C75" s="7">
        <v>1122.7153078297333</v>
      </c>
    </row>
    <row r="76" spans="1:3" x14ac:dyDescent="0.3">
      <c r="A76" s="7">
        <v>52</v>
      </c>
      <c r="B76" s="7">
        <v>3893.756105410846</v>
      </c>
      <c r="C76" s="7">
        <v>376.04389458915421</v>
      </c>
    </row>
    <row r="77" spans="1:3" x14ac:dyDescent="0.3">
      <c r="A77" s="7">
        <v>53</v>
      </c>
      <c r="B77" s="7">
        <v>5163.3815317623212</v>
      </c>
      <c r="C77" s="7">
        <v>51.118468237678826</v>
      </c>
    </row>
    <row r="78" spans="1:3" x14ac:dyDescent="0.3">
      <c r="A78" s="7">
        <v>54</v>
      </c>
      <c r="B78" s="7">
        <v>4943.6386695091815</v>
      </c>
      <c r="C78" s="7">
        <v>928.16133049081873</v>
      </c>
    </row>
    <row r="79" spans="1:3" x14ac:dyDescent="0.3">
      <c r="A79" s="7">
        <v>55</v>
      </c>
      <c r="B79" s="7">
        <v>4186.7465884150333</v>
      </c>
      <c r="C79" s="7">
        <v>10.75341158496667</v>
      </c>
    </row>
    <row r="80" spans="1:3" x14ac:dyDescent="0.3">
      <c r="A80" s="7">
        <v>56</v>
      </c>
      <c r="B80" s="7">
        <v>4992.4704166765459</v>
      </c>
      <c r="C80" s="7">
        <v>651.22958332345388</v>
      </c>
    </row>
    <row r="81" spans="1:3" ht="15.65" thickBot="1" x14ac:dyDescent="0.35">
      <c r="A81" s="8">
        <v>57</v>
      </c>
      <c r="B81" s="8">
        <v>3429.8545073208843</v>
      </c>
      <c r="C81" s="8">
        <v>-317.65450732088448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CLEAN DATA</vt:lpstr>
      <vt:lpstr>4 - Histogram</vt:lpstr>
      <vt:lpstr>4 - Box Plots</vt:lpstr>
      <vt:lpstr>4 - Bar Charts</vt:lpstr>
      <vt:lpstr>4 - Scatter Plots</vt:lpstr>
      <vt:lpstr>5 - Regression &amp; Hypotheses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Mitzi Lanado</cp:lastModifiedBy>
  <cp:lastPrinted>2025-05-01T22:07:01Z</cp:lastPrinted>
  <dcterms:created xsi:type="dcterms:W3CDTF">2025-04-06T05:14:56Z</dcterms:created>
  <dcterms:modified xsi:type="dcterms:W3CDTF">2025-05-02T00:40:11Z</dcterms:modified>
</cp:coreProperties>
</file>